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lel\OneDrive\Escritorio\"/>
    </mc:Choice>
  </mc:AlternateContent>
  <xr:revisionPtr revIDLastSave="0" documentId="13_ncr:1_{DA85C9C5-4B51-486A-A755-3AA687601009}" xr6:coauthVersionLast="47" xr6:coauthVersionMax="47" xr10:uidLastSave="{00000000-0000-0000-0000-000000000000}"/>
  <bookViews>
    <workbookView xWindow="-120" yWindow="-120" windowWidth="20730" windowHeight="11040" activeTab="1" xr2:uid="{420F2E03-45C8-4E01-8E48-F0D6C65F9966}"/>
  </bookViews>
  <sheets>
    <sheet name="Newton-Rapson" sheetId="2" r:id="rId1"/>
    <sheet name="Derivacion-Prograsiva" sheetId="4" r:id="rId2"/>
    <sheet name="Trapecio" sheetId="3" r:id="rId3"/>
    <sheet name="Rugge-Kutta" sheetId="1" r:id="rId4"/>
  </sheets>
  <externalReferences>
    <externalReference r:id="rId5"/>
  </externalReferences>
  <definedNames>
    <definedName name="h">'Rugge-Kutta'!$C$11</definedName>
    <definedName name="ssss">'Derivacion-Prograsiva'!$K$5</definedName>
    <definedName name="x">'Derivacion-Prograsiva'!$K$5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4" l="1"/>
  <c r="I9" i="4"/>
  <c r="J9" i="4"/>
  <c r="K9" i="4"/>
  <c r="L9" i="4" s="1"/>
  <c r="H10" i="4"/>
  <c r="I10" i="4"/>
  <c r="J10" i="4"/>
  <c r="K10" i="4" s="1"/>
  <c r="L10" i="4" s="1"/>
  <c r="H11" i="4"/>
  <c r="I11" i="4"/>
  <c r="J11" i="4"/>
  <c r="K11" i="4"/>
  <c r="L11" i="4" s="1"/>
  <c r="H12" i="4"/>
  <c r="I12" i="4"/>
  <c r="J12" i="4"/>
  <c r="K12" i="4" s="1"/>
  <c r="L12" i="4" s="1"/>
  <c r="H13" i="4"/>
  <c r="I13" i="4"/>
  <c r="J13" i="4"/>
  <c r="K13" i="4"/>
  <c r="L13" i="4" s="1"/>
  <c r="H14" i="4"/>
  <c r="I14" i="4"/>
  <c r="J14" i="4"/>
  <c r="K14" i="4" s="1"/>
  <c r="L14" i="4" s="1"/>
  <c r="H15" i="4"/>
  <c r="I15" i="4"/>
  <c r="J15" i="4"/>
  <c r="K15" i="4"/>
  <c r="L15" i="4" s="1"/>
  <c r="H16" i="4"/>
  <c r="I16" i="4"/>
  <c r="J16" i="4"/>
  <c r="K16" i="4" s="1"/>
  <c r="L16" i="4" s="1"/>
  <c r="H17" i="4"/>
  <c r="I17" i="4"/>
  <c r="J17" i="4"/>
  <c r="K17" i="4"/>
  <c r="L17" i="4" s="1"/>
  <c r="K8" i="4"/>
  <c r="H8" i="4"/>
  <c r="I8" i="4"/>
  <c r="J8" i="4" l="1"/>
  <c r="G12" i="3"/>
  <c r="D8" i="3"/>
  <c r="D9" i="3"/>
  <c r="D10" i="3"/>
  <c r="D11" i="3"/>
  <c r="D12" i="3"/>
  <c r="D13" i="3"/>
  <c r="D14" i="3"/>
  <c r="D15" i="3"/>
  <c r="D16" i="3"/>
  <c r="D17" i="3"/>
  <c r="D7" i="3"/>
  <c r="C9" i="3"/>
  <c r="C10" i="3"/>
  <c r="C11" i="3" s="1"/>
  <c r="G10" i="3"/>
  <c r="L8" i="4" l="1"/>
  <c r="C12" i="3"/>
  <c r="H10" i="1"/>
  <c r="I10" i="1"/>
  <c r="J10" i="1"/>
  <c r="K10" i="1"/>
  <c r="L10" i="1" s="1"/>
  <c r="M10" i="1"/>
  <c r="P10" i="1"/>
  <c r="J11" i="1"/>
  <c r="M11" i="1"/>
  <c r="P11" i="1"/>
  <c r="J12" i="1"/>
  <c r="M12" i="1"/>
  <c r="P12" i="1"/>
  <c r="J13" i="1"/>
  <c r="M13" i="1"/>
  <c r="P13" i="1"/>
  <c r="J14" i="1"/>
  <c r="M14" i="1"/>
  <c r="P14" i="1"/>
  <c r="J15" i="1"/>
  <c r="M15" i="1"/>
  <c r="P15" i="1"/>
  <c r="J16" i="1"/>
  <c r="M16" i="1"/>
  <c r="P16" i="1"/>
  <c r="J17" i="1"/>
  <c r="M17" i="1"/>
  <c r="P17" i="1"/>
  <c r="J18" i="1"/>
  <c r="M18" i="1"/>
  <c r="P18" i="1"/>
  <c r="J19" i="1"/>
  <c r="M19" i="1"/>
  <c r="P19" i="1"/>
  <c r="J20" i="1"/>
  <c r="M20" i="1"/>
  <c r="P20" i="1"/>
  <c r="J21" i="1"/>
  <c r="M21" i="1"/>
  <c r="P21" i="1"/>
  <c r="J22" i="1"/>
  <c r="M22" i="1"/>
  <c r="P22" i="1"/>
  <c r="J23" i="1"/>
  <c r="M23" i="1"/>
  <c r="P23" i="1"/>
  <c r="J24" i="1"/>
  <c r="M24" i="1"/>
  <c r="P24" i="1"/>
  <c r="J25" i="1"/>
  <c r="M25" i="1"/>
  <c r="P25" i="1"/>
  <c r="J26" i="1"/>
  <c r="M26" i="1"/>
  <c r="P26" i="1"/>
  <c r="J27" i="1"/>
  <c r="M27" i="1"/>
  <c r="P27" i="1"/>
  <c r="J28" i="1"/>
  <c r="M28" i="1"/>
  <c r="P28" i="1"/>
  <c r="J29" i="1"/>
  <c r="M29" i="1"/>
  <c r="P29" i="1"/>
  <c r="J30" i="1"/>
  <c r="M30" i="1"/>
  <c r="P30" i="1"/>
  <c r="J31" i="1"/>
  <c r="M31" i="1"/>
  <c r="P31" i="1"/>
  <c r="J32" i="1"/>
  <c r="M32" i="1"/>
  <c r="P32" i="1"/>
  <c r="J33" i="1"/>
  <c r="M33" i="1"/>
  <c r="P33" i="1"/>
  <c r="J34" i="1"/>
  <c r="M34" i="1"/>
  <c r="P34" i="1"/>
  <c r="J35" i="1"/>
  <c r="M35" i="1"/>
  <c r="P35" i="1"/>
  <c r="J36" i="1"/>
  <c r="M36" i="1"/>
  <c r="P36" i="1"/>
  <c r="J37" i="1"/>
  <c r="M37" i="1"/>
  <c r="P37" i="1"/>
  <c r="J38" i="1"/>
  <c r="M38" i="1"/>
  <c r="P38" i="1"/>
  <c r="I9" i="1"/>
  <c r="J9" i="1"/>
  <c r="K9" i="1"/>
  <c r="L9" i="1" s="1"/>
  <c r="N9" i="1" s="1"/>
  <c r="O9" i="1" s="1"/>
  <c r="Q9" i="1" s="1"/>
  <c r="R9" i="1" s="1"/>
  <c r="M9" i="1"/>
  <c r="P9" i="1"/>
  <c r="G10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R8" i="1"/>
  <c r="O8" i="1"/>
  <c r="L8" i="1"/>
  <c r="H8" i="1"/>
  <c r="G8" i="1"/>
  <c r="I8" i="1"/>
  <c r="F54" i="2"/>
  <c r="G54" i="2"/>
  <c r="I54" i="2" s="1"/>
  <c r="G53" i="2"/>
  <c r="I53" i="2"/>
  <c r="G52" i="2"/>
  <c r="I52" i="2" s="1"/>
  <c r="F53" i="2" s="1"/>
  <c r="J52" i="2"/>
  <c r="F47" i="2"/>
  <c r="G47" i="2"/>
  <c r="H47" i="2"/>
  <c r="I47" i="2"/>
  <c r="J47" i="2" s="1"/>
  <c r="F48" i="2"/>
  <c r="G48" i="2" s="1"/>
  <c r="H48" i="2"/>
  <c r="F41" i="2"/>
  <c r="G41" i="2"/>
  <c r="H41" i="2"/>
  <c r="I41" i="2"/>
  <c r="J41" i="2" s="1"/>
  <c r="F42" i="2"/>
  <c r="G42" i="2" s="1"/>
  <c r="H42" i="2"/>
  <c r="F36" i="2"/>
  <c r="G36" i="2"/>
  <c r="H36" i="2"/>
  <c r="I36" i="2"/>
  <c r="J36" i="2" s="1"/>
  <c r="F37" i="2"/>
  <c r="G37" i="2" s="1"/>
  <c r="H37" i="2"/>
  <c r="F26" i="2"/>
  <c r="G26" i="2"/>
  <c r="I26" i="2" s="1"/>
  <c r="H26" i="2"/>
  <c r="G25" i="2"/>
  <c r="H25" i="2"/>
  <c r="I25" i="2" s="1"/>
  <c r="H24" i="2"/>
  <c r="G24" i="2"/>
  <c r="J24" i="2"/>
  <c r="I24" i="2"/>
  <c r="F25" i="2" s="1"/>
  <c r="G16" i="2"/>
  <c r="I16" i="2" s="1"/>
  <c r="F17" i="2" s="1"/>
  <c r="J8" i="2"/>
  <c r="H16" i="2"/>
  <c r="J16" i="2"/>
  <c r="F10" i="2"/>
  <c r="G10" i="2"/>
  <c r="H10" i="2"/>
  <c r="I10" i="2"/>
  <c r="J10" i="2" s="1"/>
  <c r="G9" i="2"/>
  <c r="H9" i="2"/>
  <c r="I9" i="2" s="1"/>
  <c r="C7" i="3"/>
  <c r="F8" i="2"/>
  <c r="H8" i="2" s="1"/>
  <c r="C13" i="3" l="1"/>
  <c r="C8" i="3"/>
  <c r="N10" i="1"/>
  <c r="O10" i="1" s="1"/>
  <c r="Q10" i="1" s="1"/>
  <c r="R10" i="1" s="1"/>
  <c r="F55" i="2"/>
  <c r="J54" i="2"/>
  <c r="I48" i="2"/>
  <c r="I42" i="2"/>
  <c r="I37" i="2"/>
  <c r="J26" i="2"/>
  <c r="F27" i="2"/>
  <c r="H17" i="2"/>
  <c r="I17" i="2" s="1"/>
  <c r="G17" i="2"/>
  <c r="F11" i="2"/>
  <c r="G8" i="2"/>
  <c r="I8" i="2" s="1"/>
  <c r="C14" i="3" l="1"/>
  <c r="H11" i="1"/>
  <c r="G55" i="2"/>
  <c r="I55" i="2" s="1"/>
  <c r="J53" i="2"/>
  <c r="Q16" i="2"/>
  <c r="J48" i="2"/>
  <c r="F43" i="2"/>
  <c r="J42" i="2"/>
  <c r="F38" i="2"/>
  <c r="J37" i="2"/>
  <c r="H27" i="2"/>
  <c r="G27" i="2"/>
  <c r="I27" i="2" s="1"/>
  <c r="J17" i="2"/>
  <c r="F18" i="2"/>
  <c r="H11" i="2"/>
  <c r="I11" i="2" s="1"/>
  <c r="G11" i="2"/>
  <c r="F9" i="2"/>
  <c r="C15" i="3" l="1"/>
  <c r="I11" i="1"/>
  <c r="K11" i="1" s="1"/>
  <c r="L11" i="1" s="1"/>
  <c r="N11" i="1" s="1"/>
  <c r="O11" i="1" s="1"/>
  <c r="Q11" i="1" s="1"/>
  <c r="R11" i="1" s="1"/>
  <c r="F56" i="2"/>
  <c r="J55" i="2"/>
  <c r="H43" i="2"/>
  <c r="G43" i="2"/>
  <c r="I43" i="2"/>
  <c r="H38" i="2"/>
  <c r="G38" i="2"/>
  <c r="I38" i="2" s="1"/>
  <c r="J27" i="2"/>
  <c r="F28" i="2"/>
  <c r="J25" i="2"/>
  <c r="G18" i="2"/>
  <c r="I18" i="2" s="1"/>
  <c r="H18" i="2"/>
  <c r="J11" i="2"/>
  <c r="F12" i="2"/>
  <c r="J8" i="1"/>
  <c r="K8" i="1"/>
  <c r="M8" i="1"/>
  <c r="P8" i="1"/>
  <c r="G9" i="1"/>
  <c r="C16" i="3" l="1"/>
  <c r="H12" i="1"/>
  <c r="I56" i="2"/>
  <c r="G56" i="2"/>
  <c r="J43" i="2"/>
  <c r="F44" i="2"/>
  <c r="J38" i="2"/>
  <c r="F39" i="2"/>
  <c r="H28" i="2"/>
  <c r="G28" i="2"/>
  <c r="I28" i="2" s="1"/>
  <c r="J18" i="2"/>
  <c r="F19" i="2"/>
  <c r="H12" i="2"/>
  <c r="G12" i="2"/>
  <c r="I12" i="2"/>
  <c r="N8" i="1"/>
  <c r="C17" i="3" l="1"/>
  <c r="I12" i="1"/>
  <c r="K12" i="1" s="1"/>
  <c r="L12" i="1" s="1"/>
  <c r="N12" i="1" s="1"/>
  <c r="O12" i="1" s="1"/>
  <c r="Q12" i="1" s="1"/>
  <c r="R12" i="1" s="1"/>
  <c r="F57" i="2"/>
  <c r="J56" i="2"/>
  <c r="G44" i="2"/>
  <c r="I44" i="2" s="1"/>
  <c r="H44" i="2"/>
  <c r="G39" i="2"/>
  <c r="I39" i="2" s="1"/>
  <c r="H39" i="2"/>
  <c r="J28" i="2"/>
  <c r="F29" i="2"/>
  <c r="G19" i="2"/>
  <c r="H19" i="2"/>
  <c r="I19" i="2"/>
  <c r="J12" i="2"/>
  <c r="F13" i="2"/>
  <c r="J9" i="2"/>
  <c r="Q8" i="1"/>
  <c r="H13" i="1" l="1"/>
  <c r="I57" i="2"/>
  <c r="J57" i="2" s="1"/>
  <c r="G57" i="2"/>
  <c r="F45" i="2"/>
  <c r="J44" i="2"/>
  <c r="F40" i="2"/>
  <c r="J39" i="2"/>
  <c r="H29" i="2"/>
  <c r="G29" i="2"/>
  <c r="I29" i="2" s="1"/>
  <c r="J19" i="2"/>
  <c r="F20" i="2"/>
  <c r="H13" i="2"/>
  <c r="G13" i="2"/>
  <c r="I13" i="2"/>
  <c r="H9" i="1"/>
  <c r="I13" i="1" l="1"/>
  <c r="K13" i="1"/>
  <c r="L13" i="1" s="1"/>
  <c r="N13" i="1" s="1"/>
  <c r="O13" i="1" s="1"/>
  <c r="H45" i="2"/>
  <c r="G45" i="2"/>
  <c r="I45" i="2"/>
  <c r="H40" i="2"/>
  <c r="G40" i="2"/>
  <c r="I40" i="2" s="1"/>
  <c r="J40" i="2" s="1"/>
  <c r="J29" i="2"/>
  <c r="F30" i="2"/>
  <c r="H20" i="2"/>
  <c r="I20" i="2"/>
  <c r="G20" i="2"/>
  <c r="J13" i="2"/>
  <c r="Q13" i="1" l="1"/>
  <c r="R13" i="1" s="1"/>
  <c r="H14" i="1"/>
  <c r="J45" i="2"/>
  <c r="F46" i="2"/>
  <c r="H30" i="2"/>
  <c r="G30" i="2"/>
  <c r="I30" i="2" s="1"/>
  <c r="F21" i="2"/>
  <c r="J20" i="2"/>
  <c r="I14" i="1" l="1"/>
  <c r="K14" i="1" s="1"/>
  <c r="L14" i="1" s="1"/>
  <c r="N14" i="1" s="1"/>
  <c r="O14" i="1" s="1"/>
  <c r="Q14" i="1" s="1"/>
  <c r="R14" i="1" s="1"/>
  <c r="G46" i="2"/>
  <c r="I46" i="2"/>
  <c r="J46" i="2" s="1"/>
  <c r="H46" i="2"/>
  <c r="J30" i="2"/>
  <c r="F31" i="2"/>
  <c r="G21" i="2"/>
  <c r="H21" i="2"/>
  <c r="H15" i="1" l="1"/>
  <c r="H31" i="2"/>
  <c r="G31" i="2"/>
  <c r="I31" i="2" s="1"/>
  <c r="I21" i="2"/>
  <c r="J21" i="2" s="1"/>
  <c r="I15" i="1" l="1"/>
  <c r="K15" i="1"/>
  <c r="L15" i="1" s="1"/>
  <c r="N15" i="1" s="1"/>
  <c r="O15" i="1" s="1"/>
  <c r="J31" i="2"/>
  <c r="F32" i="2"/>
  <c r="Q15" i="1" l="1"/>
  <c r="R15" i="1" s="1"/>
  <c r="H16" i="1"/>
  <c r="H32" i="2"/>
  <c r="G32" i="2"/>
  <c r="I32" i="2"/>
  <c r="I16" i="1" l="1"/>
  <c r="K16" i="1" s="1"/>
  <c r="L16" i="1" s="1"/>
  <c r="J32" i="2"/>
  <c r="F33" i="2"/>
  <c r="N16" i="1" l="1"/>
  <c r="O16" i="1" s="1"/>
  <c r="Q16" i="1" s="1"/>
  <c r="R16" i="1" s="1"/>
  <c r="H17" i="1"/>
  <c r="H33" i="2"/>
  <c r="G33" i="2"/>
  <c r="I33" i="2" s="1"/>
  <c r="I17" i="1" l="1"/>
  <c r="K17" i="1"/>
  <c r="L17" i="1" s="1"/>
  <c r="N17" i="1" s="1"/>
  <c r="O17" i="1" s="1"/>
  <c r="J33" i="2"/>
  <c r="F34" i="2"/>
  <c r="Q17" i="1" l="1"/>
  <c r="R17" i="1" s="1"/>
  <c r="H18" i="1"/>
  <c r="H34" i="2"/>
  <c r="G34" i="2"/>
  <c r="I34" i="2" s="1"/>
  <c r="I18" i="1" l="1"/>
  <c r="K18" i="1"/>
  <c r="L18" i="1" s="1"/>
  <c r="N18" i="1" s="1"/>
  <c r="O18" i="1" s="1"/>
  <c r="Q18" i="1" s="1"/>
  <c r="R18" i="1" s="1"/>
  <c r="J34" i="2"/>
  <c r="F35" i="2"/>
  <c r="H19" i="1" l="1"/>
  <c r="H35" i="2"/>
  <c r="G35" i="2"/>
  <c r="I35" i="2" s="1"/>
  <c r="J35" i="2" s="1"/>
  <c r="I19" i="1" l="1"/>
  <c r="K19" i="1" s="1"/>
  <c r="L19" i="1" s="1"/>
  <c r="N19" i="1" s="1"/>
  <c r="O19" i="1" s="1"/>
  <c r="Q19" i="1" s="1"/>
  <c r="R19" i="1" s="1"/>
  <c r="H20" i="1" l="1"/>
  <c r="I20" i="1" l="1"/>
  <c r="H21" i="1" l="1"/>
  <c r="K20" i="1"/>
  <c r="L20" i="1" s="1"/>
  <c r="N20" i="1" s="1"/>
  <c r="O20" i="1" s="1"/>
  <c r="Q20" i="1" s="1"/>
  <c r="R20" i="1" s="1"/>
  <c r="I21" i="1" l="1"/>
  <c r="K21" i="1"/>
  <c r="L21" i="1" s="1"/>
  <c r="N21" i="1" s="1"/>
  <c r="O21" i="1" s="1"/>
  <c r="Q21" i="1" l="1"/>
  <c r="R21" i="1" s="1"/>
  <c r="H22" i="1"/>
  <c r="I22" i="1" l="1"/>
  <c r="K22" i="1"/>
  <c r="L22" i="1" s="1"/>
  <c r="N22" i="1" s="1"/>
  <c r="O22" i="1" s="1"/>
  <c r="Q22" i="1" s="1"/>
  <c r="R22" i="1" s="1"/>
  <c r="H23" i="1" l="1"/>
  <c r="I23" i="1" l="1"/>
  <c r="K23" i="1"/>
  <c r="L23" i="1" s="1"/>
  <c r="N23" i="1" s="1"/>
  <c r="O23" i="1" s="1"/>
  <c r="Q23" i="1" l="1"/>
  <c r="R23" i="1" s="1"/>
  <c r="H24" i="1"/>
  <c r="I24" i="1" l="1"/>
  <c r="K24" i="1"/>
  <c r="L24" i="1" s="1"/>
  <c r="N24" i="1" s="1"/>
  <c r="O24" i="1" s="1"/>
  <c r="Q24" i="1" s="1"/>
  <c r="R24" i="1" s="1"/>
  <c r="H25" i="1" l="1"/>
  <c r="I25" i="1" l="1"/>
  <c r="K25" i="1"/>
  <c r="L25" i="1" s="1"/>
  <c r="N25" i="1" s="1"/>
  <c r="O25" i="1" s="1"/>
  <c r="Q25" i="1" l="1"/>
  <c r="R25" i="1" s="1"/>
  <c r="H26" i="1"/>
  <c r="I26" i="1" l="1"/>
  <c r="K26" i="1"/>
  <c r="L26" i="1" s="1"/>
  <c r="N26" i="1" s="1"/>
  <c r="O26" i="1" s="1"/>
  <c r="Q26" i="1" s="1"/>
  <c r="R26" i="1" s="1"/>
  <c r="H27" i="1" l="1"/>
  <c r="I27" i="1" l="1"/>
  <c r="K27" i="1"/>
  <c r="L27" i="1" s="1"/>
  <c r="N27" i="1" s="1"/>
  <c r="O27" i="1" s="1"/>
  <c r="Q27" i="1" l="1"/>
  <c r="R27" i="1" s="1"/>
  <c r="H28" i="1"/>
  <c r="I28" i="1" l="1"/>
  <c r="K28" i="1"/>
  <c r="L28" i="1" s="1"/>
  <c r="N28" i="1" s="1"/>
  <c r="O28" i="1" s="1"/>
  <c r="Q28" i="1" s="1"/>
  <c r="R28" i="1" s="1"/>
  <c r="H29" i="1" l="1"/>
  <c r="I29" i="1" l="1"/>
  <c r="K29" i="1"/>
  <c r="L29" i="1" s="1"/>
  <c r="N29" i="1" s="1"/>
  <c r="O29" i="1" s="1"/>
  <c r="Q29" i="1" l="1"/>
  <c r="R29" i="1" s="1"/>
  <c r="H30" i="1"/>
  <c r="I30" i="1" l="1"/>
  <c r="K30" i="1"/>
  <c r="L30" i="1" s="1"/>
  <c r="N30" i="1" s="1"/>
  <c r="O30" i="1" s="1"/>
  <c r="Q30" i="1" s="1"/>
  <c r="R30" i="1" s="1"/>
  <c r="H31" i="1" l="1"/>
  <c r="I31" i="1" l="1"/>
  <c r="K31" i="1"/>
  <c r="L31" i="1" s="1"/>
  <c r="N31" i="1" s="1"/>
  <c r="O31" i="1" s="1"/>
  <c r="Q31" i="1" s="1"/>
  <c r="R31" i="1" s="1"/>
  <c r="H32" i="1" l="1"/>
  <c r="I32" i="1" l="1"/>
  <c r="K32" i="1"/>
  <c r="L32" i="1" s="1"/>
  <c r="N32" i="1" s="1"/>
  <c r="O32" i="1" s="1"/>
  <c r="Q32" i="1" l="1"/>
  <c r="R32" i="1" s="1"/>
  <c r="H33" i="1"/>
  <c r="I33" i="1" l="1"/>
  <c r="K33" i="1" s="1"/>
  <c r="L33" i="1" s="1"/>
  <c r="N33" i="1" s="1"/>
  <c r="O33" i="1" s="1"/>
  <c r="Q33" i="1" s="1"/>
  <c r="R33" i="1" s="1"/>
  <c r="H34" i="1" l="1"/>
  <c r="I34" i="1" l="1"/>
  <c r="K34" i="1"/>
  <c r="L34" i="1" s="1"/>
  <c r="N34" i="1" s="1"/>
  <c r="O34" i="1" s="1"/>
  <c r="Q34" i="1" l="1"/>
  <c r="R34" i="1" s="1"/>
  <c r="H35" i="1"/>
  <c r="I35" i="1" l="1"/>
  <c r="K35" i="1" s="1"/>
  <c r="L35" i="1" s="1"/>
  <c r="N35" i="1" s="1"/>
  <c r="O35" i="1" s="1"/>
  <c r="Q35" i="1" s="1"/>
  <c r="R35" i="1" s="1"/>
  <c r="H36" i="1" l="1"/>
  <c r="I36" i="1" l="1"/>
  <c r="K36" i="1"/>
  <c r="L36" i="1" s="1"/>
  <c r="N36" i="1" s="1"/>
  <c r="O36" i="1" s="1"/>
  <c r="Q36" i="1" l="1"/>
  <c r="R36" i="1" s="1"/>
  <c r="H37" i="1"/>
  <c r="I37" i="1" l="1"/>
  <c r="K37" i="1" s="1"/>
  <c r="L37" i="1" s="1"/>
  <c r="N37" i="1" s="1"/>
  <c r="O37" i="1" s="1"/>
  <c r="Q37" i="1" s="1"/>
  <c r="R37" i="1" s="1"/>
  <c r="H38" i="1" l="1"/>
  <c r="I38" i="1" l="1"/>
  <c r="K38" i="1"/>
  <c r="L38" i="1" s="1"/>
  <c r="N38" i="1" s="1"/>
  <c r="O38" i="1" s="1"/>
  <c r="Q38" i="1" l="1"/>
  <c r="R38" i="1" s="1"/>
</calcChain>
</file>

<file path=xl/sharedStrings.xml><?xml version="1.0" encoding="utf-8"?>
<sst xmlns="http://schemas.openxmlformats.org/spreadsheetml/2006/main" count="70" uniqueCount="41">
  <si>
    <t>Metodo Rungge-Kutta</t>
  </si>
  <si>
    <t>x0</t>
  </si>
  <si>
    <t>y0</t>
  </si>
  <si>
    <t>Dt</t>
  </si>
  <si>
    <t>DATOS INICIALES</t>
  </si>
  <si>
    <t>X</t>
  </si>
  <si>
    <t>Y</t>
  </si>
  <si>
    <t>K1</t>
  </si>
  <si>
    <t>K2</t>
  </si>
  <si>
    <t>K3</t>
  </si>
  <si>
    <t>K4</t>
  </si>
  <si>
    <t>K2 = Xi+h/2</t>
  </si>
  <si>
    <t>K2 = Yi + K1*H/2</t>
  </si>
  <si>
    <t>K3=Xi+h/2</t>
  </si>
  <si>
    <t>K3=Yi+K2*h/2</t>
  </si>
  <si>
    <t>K4=Xi+h</t>
  </si>
  <si>
    <t>K4=Yi+K3*h</t>
  </si>
  <si>
    <t>Hasta</t>
  </si>
  <si>
    <t xml:space="preserve">A MODIFICAR </t>
  </si>
  <si>
    <t>Josias Dominguez Hernández - Ordinario Metodos Numericos</t>
  </si>
  <si>
    <t>f(x)</t>
  </si>
  <si>
    <t>f'(x)</t>
  </si>
  <si>
    <t>Xi</t>
  </si>
  <si>
    <t>Error</t>
  </si>
  <si>
    <t>Xn(nueva Xi)</t>
  </si>
  <si>
    <t>inicial</t>
  </si>
  <si>
    <t>Metodo Trapezoidal</t>
  </si>
  <si>
    <t>INTEGRAL</t>
  </si>
  <si>
    <t>RESULTADOS</t>
  </si>
  <si>
    <t>Metodo Newton-Rapson</t>
  </si>
  <si>
    <t>No. Rectangulos</t>
  </si>
  <si>
    <t>Final</t>
  </si>
  <si>
    <t>Inicial</t>
  </si>
  <si>
    <t>Altura</t>
  </si>
  <si>
    <t>Derivacion Progresiva</t>
  </si>
  <si>
    <t>h</t>
  </si>
  <si>
    <t>y(5)= 12</t>
  </si>
  <si>
    <t>x + h</t>
  </si>
  <si>
    <t>f (x)</t>
  </si>
  <si>
    <t>f ( x + h )</t>
  </si>
  <si>
    <t>( f ( x + h ) - f ( x ) ) /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</si>
</sst>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/>
    <xf numFmtId="0" fontId="6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Fill="1" applyBorder="1"/>
    <xf numFmtId="0" fontId="4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0" fillId="0" borderId="0" xfId="0" applyFill="1"/>
    <xf numFmtId="0" fontId="1" fillId="3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5" borderId="0" xfId="0" applyFont="1" applyFill="1"/>
    <xf numFmtId="0" fontId="1" fillId="0" borderId="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" fillId="3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0" xfId="0" applyBorder="1"/>
    <xf numFmtId="0" fontId="1" fillId="3" borderId="0" xfId="0" applyFont="1" applyFill="1" applyAlignment="1">
      <alignment horizontal="center"/>
    </xf>
    <xf numFmtId="0" fontId="1" fillId="3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'Derivacion-Prograsiva'!$G$8:$G$17</c:f>
              <c:numCache>
                <c:formatCode>General</c:formatCode>
                <c:ptCount val="1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</c:numCache>
            </c:numRef>
          </c:xVal>
          <c:yVal>
            <c:numRef>
              <c:f>'Derivacion-Prograsiva'!$K$8:$K$17</c:f>
              <c:numCache>
                <c:formatCode>General</c:formatCode>
                <c:ptCount val="10"/>
                <c:pt idx="0">
                  <c:v>59</c:v>
                </c:pt>
                <c:pt idx="1">
                  <c:v>71</c:v>
                </c:pt>
                <c:pt idx="2">
                  <c:v>83</c:v>
                </c:pt>
                <c:pt idx="3">
                  <c:v>95</c:v>
                </c:pt>
                <c:pt idx="4">
                  <c:v>107</c:v>
                </c:pt>
                <c:pt idx="5">
                  <c:v>119</c:v>
                </c:pt>
                <c:pt idx="6">
                  <c:v>131</c:v>
                </c:pt>
                <c:pt idx="7">
                  <c:v>143</c:v>
                </c:pt>
                <c:pt idx="8">
                  <c:v>155</c:v>
                </c:pt>
                <c:pt idx="9">
                  <c:v>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F9-4541-86D7-4DBC81192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022960"/>
        <c:axId val="966010896"/>
      </c:scatterChart>
      <c:valAx>
        <c:axId val="96602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6010896"/>
        <c:crosses val="autoZero"/>
        <c:crossBetween val="midCat"/>
      </c:valAx>
      <c:valAx>
        <c:axId val="9660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602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Metodo</a:t>
            </a:r>
            <a:r>
              <a:rPr lang="es-MX" baseline="0"/>
              <a:t> Trapecio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Trapecio!$C$7:$C$17</c:f>
              <c:numCache>
                <c:formatCode>General</c:formatCode>
                <c:ptCount val="11"/>
                <c:pt idx="0">
                  <c:v>5</c:v>
                </c:pt>
                <c:pt idx="1">
                  <c:v>5.9</c:v>
                </c:pt>
                <c:pt idx="2">
                  <c:v>6.8000000000000007</c:v>
                </c:pt>
                <c:pt idx="3">
                  <c:v>7.7000000000000011</c:v>
                </c:pt>
                <c:pt idx="4">
                  <c:v>8.6000000000000014</c:v>
                </c:pt>
                <c:pt idx="5">
                  <c:v>9.5000000000000018</c:v>
                </c:pt>
                <c:pt idx="6">
                  <c:v>10.400000000000002</c:v>
                </c:pt>
                <c:pt idx="7">
                  <c:v>11.300000000000002</c:v>
                </c:pt>
                <c:pt idx="8">
                  <c:v>12.200000000000003</c:v>
                </c:pt>
                <c:pt idx="9">
                  <c:v>13.100000000000003</c:v>
                </c:pt>
                <c:pt idx="10">
                  <c:v>14.000000000000004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5-4A99-8F45-7C15845C6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782256"/>
        <c:axId val="610781424"/>
      </c:bar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Trapecio!$D$7:$D$17</c:f>
              <c:numCache>
                <c:formatCode>General</c:formatCode>
                <c:ptCount val="11"/>
                <c:pt idx="0">
                  <c:v>6</c:v>
                </c:pt>
                <c:pt idx="1">
                  <c:v>8.7000000000000028</c:v>
                </c:pt>
                <c:pt idx="2">
                  <c:v>11.400000000000002</c:v>
                </c:pt>
                <c:pt idx="3">
                  <c:v>14.100000000000001</c:v>
                </c:pt>
                <c:pt idx="4">
                  <c:v>16.800000000000004</c:v>
                </c:pt>
                <c:pt idx="5">
                  <c:v>19.500000000000007</c:v>
                </c:pt>
                <c:pt idx="6">
                  <c:v>22.200000000000006</c:v>
                </c:pt>
                <c:pt idx="7">
                  <c:v>24.900000000000006</c:v>
                </c:pt>
                <c:pt idx="8">
                  <c:v>27.600000000000009</c:v>
                </c:pt>
                <c:pt idx="9">
                  <c:v>30.300000000000011</c:v>
                </c:pt>
                <c:pt idx="10">
                  <c:v>33.000000000000014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F5-4A99-8F45-7C15845C6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767360"/>
        <c:axId val="964762368"/>
      </c:lineChart>
      <c:catAx>
        <c:axId val="610782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10781424"/>
        <c:auto val="1"/>
        <c:lblAlgn val="ctr"/>
        <c:lblOffset val="100"/>
        <c:noMultiLvlLbl val="0"/>
      </c:catAx>
      <c:valAx>
        <c:axId val="61078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10782256"/>
        <c:crossBetween val="between"/>
      </c:valAx>
      <c:valAx>
        <c:axId val="9647623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767360"/>
        <c:crosses val="max"/>
        <c:crossBetween val="between"/>
      </c:valAx>
      <c:catAx>
        <c:axId val="964767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96476236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Rungge-Kutta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'Rugge-Kutta'!$G$8:$G$38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'Rugge-Kutta'!$H$8:$H$38</c:f>
              <c:numCache>
                <c:formatCode>General</c:formatCode>
                <c:ptCount val="31"/>
                <c:pt idx="0">
                  <c:v>3</c:v>
                </c:pt>
                <c:pt idx="1">
                  <c:v>2.9990000156248438</c:v>
                </c:pt>
                <c:pt idx="2">
                  <c:v>2.9920031642115905</c:v>
                </c:pt>
                <c:pt idx="3">
                  <c:v>2.9730598091619567</c:v>
                </c:pt>
                <c:pt idx="4">
                  <c:v>2.9364146729628557</c:v>
                </c:pt>
                <c:pt idx="5">
                  <c:v>2.8767682346892012</c:v>
                </c:pt>
                <c:pt idx="6">
                  <c:v>2.7896384775094858</c:v>
                </c:pt>
                <c:pt idx="7">
                  <c:v>2.6717933957372777</c:v>
                </c:pt>
                <c:pt idx="8">
                  <c:v>2.5217055112909899</c:v>
                </c:pt>
                <c:pt idx="9">
                  <c:v>2.3399602495284237</c:v>
                </c:pt>
                <c:pt idx="10">
                  <c:v>2.129535687971603</c:v>
                </c:pt>
                <c:pt idx="11">
                  <c:v>1.8958683515078993</c:v>
                </c:pt>
                <c:pt idx="12">
                  <c:v>1.6466345066872203</c:v>
                </c:pt>
                <c:pt idx="13">
                  <c:v>1.3912123964116812</c:v>
                </c:pt>
                <c:pt idx="14">
                  <c:v>1.1398465845140273</c:v>
                </c:pt>
                <c:pt idx="15">
                  <c:v>0.90260261463683</c:v>
                </c:pt>
                <c:pt idx="16">
                  <c:v>0.68826308294681071</c:v>
                </c:pt>
                <c:pt idx="17">
                  <c:v>0.50335535834520828</c:v>
                </c:pt>
                <c:pt idx="18">
                  <c:v>0.35149864767504801</c:v>
                </c:pt>
                <c:pt idx="19">
                  <c:v>0.2332052851008112</c:v>
                </c:pt>
                <c:pt idx="20">
                  <c:v>0.14617505827952648</c:v>
                </c:pt>
                <c:pt idx="21">
                  <c:v>8.6006217052720116E-2</c:v>
                </c:pt>
                <c:pt idx="22">
                  <c:v>4.7147874067914708E-2</c:v>
                </c:pt>
                <c:pt idx="23">
                  <c:v>2.3869635392649018E-2</c:v>
                </c:pt>
                <c:pt idx="24">
                  <c:v>1.1043127081060432E-2</c:v>
                </c:pt>
                <c:pt idx="25">
                  <c:v>4.6086445250944907E-3</c:v>
                </c:pt>
                <c:pt idx="26">
                  <c:v>1.7068685050498234E-3</c:v>
                </c:pt>
                <c:pt idx="27">
                  <c:v>5.4920712343169207E-4</c:v>
                </c:pt>
                <c:pt idx="28">
                  <c:v>1.4914334720265743E-4</c:v>
                </c:pt>
                <c:pt idx="29">
                  <c:v>3.2779567820156568E-5</c:v>
                </c:pt>
                <c:pt idx="30">
                  <c:v>5.45667663259816E-6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B-4854-BB3A-8FF868926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176256"/>
        <c:axId val="1221179168"/>
      </c:scatterChart>
      <c:valAx>
        <c:axId val="122117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21179168"/>
        <c:crosses val="autoZero"/>
        <c:crossBetween val="midCat"/>
      </c:valAx>
      <c:valAx>
        <c:axId val="122117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2117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649941</xdr:colOff>
      <xdr:row>10</xdr:row>
      <xdr:rowOff>22412</xdr:rowOff>
    </xdr:from>
    <xdr:to>
      <xdr:col>16</xdr:col>
      <xdr:colOff>459422</xdr:colOff>
      <xdr:row>24</xdr:row>
      <xdr:rowOff>179693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833B72E-EAFA-4097-894C-28BB412D1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29147" y="2005853"/>
          <a:ext cx="3877216" cy="285789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171451</xdr:colOff>
      <xdr:row>5</xdr:row>
      <xdr:rowOff>47625</xdr:rowOff>
    </xdr:from>
    <xdr:to>
      <xdr:col>5</xdr:col>
      <xdr:colOff>38883</xdr:colOff>
      <xdr:row>10</xdr:row>
      <xdr:rowOff>85725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0DDB16-F926-495E-9FD2-DA0CAB22B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1" y="1047750"/>
          <a:ext cx="3677432" cy="990600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15</xdr:row>
      <xdr:rowOff>47625</xdr:rowOff>
    </xdr:from>
    <xdr:to>
      <xdr:col>5</xdr:col>
      <xdr:colOff>391037</xdr:colOff>
      <xdr:row>17</xdr:row>
      <xdr:rowOff>9573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1E26979-D734-4A8E-81BC-3D49B1122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3400" y="2952750"/>
          <a:ext cx="3667637" cy="342948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19</xdr:row>
      <xdr:rowOff>71437</xdr:rowOff>
    </xdr:from>
    <xdr:to>
      <xdr:col>6</xdr:col>
      <xdr:colOff>152400</xdr:colOff>
      <xdr:row>33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33BAA81-17DC-46AD-A9B6-3ABE5BA542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5</xdr:row>
      <xdr:rowOff>42862</xdr:rowOff>
    </xdr:from>
    <xdr:to>
      <xdr:col>15</xdr:col>
      <xdr:colOff>457200</xdr:colOff>
      <xdr:row>19</xdr:row>
      <xdr:rowOff>119062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233369D-252E-4169-B1CA-6835FF9CA6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27</xdr:row>
      <xdr:rowOff>57150</xdr:rowOff>
    </xdr:from>
    <xdr:to>
      <xdr:col>6</xdr:col>
      <xdr:colOff>8898</xdr:colOff>
      <xdr:row>39</xdr:row>
      <xdr:rowOff>66675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8BB15B2-E2BB-0A47-A484-2C59BA3F3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5238750"/>
          <a:ext cx="4123698" cy="22955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409574</xdr:colOff>
      <xdr:row>18</xdr:row>
      <xdr:rowOff>104775</xdr:rowOff>
    </xdr:from>
    <xdr:to>
      <xdr:col>3</xdr:col>
      <xdr:colOff>257175</xdr:colOff>
      <xdr:row>22</xdr:row>
      <xdr:rowOff>9524</xdr:rowOff>
    </xdr:to>
    <xdr:sp macro="[0]!CALCUL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BBD9BAC-759E-4A5B-8B06-236991266B5C}"/>
            </a:ext>
          </a:extLst>
        </xdr:cNvPr>
        <xdr:cNvSpPr/>
      </xdr:nvSpPr>
      <xdr:spPr>
        <a:xfrm>
          <a:off x="409574" y="3571875"/>
          <a:ext cx="1571626" cy="666749"/>
        </a:xfrm>
        <a:prstGeom prst="roundRect">
          <a:avLst/>
        </a:prstGeom>
        <a:solidFill>
          <a:srgbClr val="0070C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aseline="0"/>
            <a:t>CALCULAR</a:t>
          </a:r>
        </a:p>
      </xdr:txBody>
    </xdr:sp>
    <xdr:clientData/>
  </xdr:twoCellAnchor>
  <xdr:twoCellAnchor>
    <xdr:from>
      <xdr:col>0</xdr:col>
      <xdr:colOff>400050</xdr:colOff>
      <xdr:row>22</xdr:row>
      <xdr:rowOff>95250</xdr:rowOff>
    </xdr:from>
    <xdr:to>
      <xdr:col>5</xdr:col>
      <xdr:colOff>200025</xdr:colOff>
      <xdr:row>25</xdr:row>
      <xdr:rowOff>95250</xdr:rowOff>
    </xdr:to>
    <xdr:sp macro="[0]!GRAF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C8300500-478C-67A8-D738-565C75EEA06A}"/>
            </a:ext>
          </a:extLst>
        </xdr:cNvPr>
        <xdr:cNvSpPr/>
      </xdr:nvSpPr>
      <xdr:spPr>
        <a:xfrm>
          <a:off x="400050" y="4324350"/>
          <a:ext cx="3352800" cy="57150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GRAFICAR</a:t>
          </a:r>
        </a:p>
      </xdr:txBody>
    </xdr:sp>
    <xdr:clientData/>
  </xdr:twoCellAnchor>
  <xdr:twoCellAnchor>
    <xdr:from>
      <xdr:col>0</xdr:col>
      <xdr:colOff>361950</xdr:colOff>
      <xdr:row>12</xdr:row>
      <xdr:rowOff>19050</xdr:rowOff>
    </xdr:from>
    <xdr:to>
      <xdr:col>5</xdr:col>
      <xdr:colOff>285750</xdr:colOff>
      <xdr:row>17</xdr:row>
      <xdr:rowOff>28575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B84CB10-2EBD-E40B-ABBD-4414DBB213DD}"/>
            </a:ext>
          </a:extLst>
        </xdr:cNvPr>
        <xdr:cNvSpPr txBox="1"/>
      </xdr:nvSpPr>
      <xdr:spPr>
        <a:xfrm>
          <a:off x="361950" y="2343150"/>
          <a:ext cx="3476625" cy="962025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ANTES</a:t>
          </a:r>
          <a:r>
            <a:rPr lang="es-MX" sz="1100" baseline="0"/>
            <a:t> DE CALCULAR LOS RESULTADOS, AGREGUE EN LA CELDA DE </a:t>
          </a:r>
          <a:r>
            <a:rPr lang="es-MX" sz="1100" baseline="0">
              <a:solidFill>
                <a:srgbClr val="7030A0"/>
              </a:solidFill>
            </a:rPr>
            <a:t>K1, </a:t>
          </a:r>
          <a:r>
            <a:rPr lang="es-MX" sz="1100" baseline="0">
              <a:solidFill>
                <a:sysClr val="windowText" lastClr="000000"/>
              </a:solidFill>
            </a:rPr>
            <a:t>LA FUNCION A CALCULAR Y DESPUES PRESIONES EN CALCULAR , DESPUES EN GRAFICAR Y AL ULTIMO EN LIMPIAR.</a:t>
          </a:r>
        </a:p>
      </xdr:txBody>
    </xdr:sp>
    <xdr:clientData/>
  </xdr:twoCellAnchor>
  <xdr:twoCellAnchor>
    <xdr:from>
      <xdr:col>3</xdr:col>
      <xdr:colOff>361950</xdr:colOff>
      <xdr:row>18</xdr:row>
      <xdr:rowOff>95250</xdr:rowOff>
    </xdr:from>
    <xdr:to>
      <xdr:col>5</xdr:col>
      <xdr:colOff>171449</xdr:colOff>
      <xdr:row>21</xdr:row>
      <xdr:rowOff>190499</xdr:rowOff>
    </xdr:to>
    <xdr:sp macro="[0]!DELET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41D591B-0947-4B33-BEBB-830D98EC2EEC}"/>
            </a:ext>
          </a:extLst>
        </xdr:cNvPr>
        <xdr:cNvSpPr/>
      </xdr:nvSpPr>
      <xdr:spPr>
        <a:xfrm>
          <a:off x="2085975" y="3562350"/>
          <a:ext cx="1638299" cy="666749"/>
        </a:xfrm>
        <a:prstGeom prst="roundRect">
          <a:avLst/>
        </a:prstGeom>
        <a:solidFill>
          <a:srgbClr val="00B05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aseline="0"/>
            <a:t>LIMPIAR TODO</a:t>
          </a:r>
        </a:p>
      </xdr:txBody>
    </xdr:sp>
    <xdr:clientData/>
  </xdr:twoCellAnchor>
  <xdr:twoCellAnchor>
    <xdr:from>
      <xdr:col>2</xdr:col>
      <xdr:colOff>457200</xdr:colOff>
      <xdr:row>503</xdr:row>
      <xdr:rowOff>19050</xdr:rowOff>
    </xdr:from>
    <xdr:to>
      <xdr:col>4</xdr:col>
      <xdr:colOff>704850</xdr:colOff>
      <xdr:row>506</xdr:row>
      <xdr:rowOff>142875</xdr:rowOff>
    </xdr:to>
    <xdr:sp macro="[0]!SUBIR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E65B2CA9-8B1D-0C56-0582-1BAE3711EC2E}"/>
            </a:ext>
          </a:extLst>
        </xdr:cNvPr>
        <xdr:cNvSpPr/>
      </xdr:nvSpPr>
      <xdr:spPr>
        <a:xfrm>
          <a:off x="1419225" y="95878650"/>
          <a:ext cx="1771650" cy="69532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/>
            <a:t>REGRESAR</a:t>
          </a:r>
          <a:r>
            <a:rPr lang="es-MX" sz="1200" b="1" baseline="0"/>
            <a:t> AL INICIO</a:t>
          </a:r>
          <a:endParaRPr lang="es-MX" sz="1200" b="1"/>
        </a:p>
      </xdr:txBody>
    </xdr:sp>
    <xdr:clientData/>
  </xdr:twoCellAnchor>
  <xdr:twoCellAnchor>
    <xdr:from>
      <xdr:col>12</xdr:col>
      <xdr:colOff>778808</xdr:colOff>
      <xdr:row>19</xdr:row>
      <xdr:rowOff>79560</xdr:rowOff>
    </xdr:from>
    <xdr:to>
      <xdr:col>17</xdr:col>
      <xdr:colOff>677956</xdr:colOff>
      <xdr:row>33</xdr:row>
      <xdr:rowOff>155760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D54E662C-9E07-48B1-8249-ECBAB2E08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ulel/Downloads/Ordinario_Eduardo_Varela_Hernandez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étodo Trapezoidal"/>
      <sheetName val="Runge-Kutta"/>
      <sheetName val="Newton-Rhapson"/>
      <sheetName val="Derivación Progresiva"/>
    </sheetNames>
    <sheetDataSet>
      <sheetData sheetId="0">
        <row r="5">
          <cell r="C5">
            <v>1</v>
          </cell>
          <cell r="D5">
            <v>4.666666666666667</v>
          </cell>
        </row>
        <row r="6">
          <cell r="C6">
            <v>1.4</v>
          </cell>
          <cell r="D6">
            <v>9.3333333333333321</v>
          </cell>
        </row>
        <row r="7">
          <cell r="C7">
            <v>1.7999999999999998</v>
          </cell>
          <cell r="D7">
            <v>15.599999999999996</v>
          </cell>
        </row>
        <row r="8">
          <cell r="C8">
            <v>2.1999999999999997</v>
          </cell>
          <cell r="D8">
            <v>23.466666666666661</v>
          </cell>
        </row>
        <row r="9">
          <cell r="C9">
            <v>2.5999999999999996</v>
          </cell>
          <cell r="D9">
            <v>32.933333333333323</v>
          </cell>
        </row>
        <row r="10">
          <cell r="C10">
            <v>2.9999999999999996</v>
          </cell>
          <cell r="D10">
            <v>43.999999999999986</v>
          </cell>
        </row>
        <row r="11">
          <cell r="C11">
            <v>3.3999999999999995</v>
          </cell>
          <cell r="D11">
            <v>56.66666666666665</v>
          </cell>
        </row>
        <row r="12">
          <cell r="C12">
            <v>3.7999999999999994</v>
          </cell>
          <cell r="D12">
            <v>70.933333333333309</v>
          </cell>
        </row>
        <row r="13">
          <cell r="C13">
            <v>4.1999999999999993</v>
          </cell>
          <cell r="D13">
            <v>86.799999999999955</v>
          </cell>
        </row>
        <row r="14">
          <cell r="C14">
            <v>4.5999999999999996</v>
          </cell>
          <cell r="D14">
            <v>104.26666666666665</v>
          </cell>
        </row>
        <row r="15">
          <cell r="C15">
            <v>5</v>
          </cell>
          <cell r="D15">
            <v>123.33333333333333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343D-9699-429C-A674-6406130A1B33}">
  <dimension ref="A1:R232"/>
  <sheetViews>
    <sheetView zoomScale="85" zoomScaleNormal="85" workbookViewId="0">
      <selection activeCell="E14" sqref="E14"/>
    </sheetView>
  </sheetViews>
  <sheetFormatPr baseColWidth="10" defaultRowHeight="15" x14ac:dyDescent="0.25"/>
  <cols>
    <col min="6" max="6" width="17.28515625" customWidth="1"/>
    <col min="7" max="7" width="17" customWidth="1"/>
    <col min="8" max="8" width="15.7109375" customWidth="1"/>
    <col min="9" max="9" width="14.85546875" customWidth="1"/>
    <col min="10" max="10" width="18.42578125" customWidth="1"/>
    <col min="11" max="11" width="19.7109375" customWidth="1"/>
    <col min="14" max="14" width="15.28515625" customWidth="1"/>
  </cols>
  <sheetData>
    <row r="1" spans="1:18" ht="15" customHeight="1" x14ac:dyDescent="0.25">
      <c r="A1" s="21" t="s">
        <v>29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</row>
    <row r="2" spans="1:18" ht="1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</row>
    <row r="3" spans="1:18" ht="15" customHeight="1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1:18" ht="18.75" x14ac:dyDescent="0.25">
      <c r="A4" s="22" t="s">
        <v>19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7" spans="1:18" x14ac:dyDescent="0.25">
      <c r="A7" s="29" t="s">
        <v>4</v>
      </c>
      <c r="B7" s="30"/>
      <c r="C7" s="30"/>
      <c r="D7" s="31"/>
      <c r="F7" s="13" t="s">
        <v>22</v>
      </c>
      <c r="G7" s="13" t="s">
        <v>20</v>
      </c>
      <c r="H7" s="13" t="s">
        <v>21</v>
      </c>
      <c r="I7" s="13" t="s">
        <v>24</v>
      </c>
      <c r="J7" s="13" t="s">
        <v>23</v>
      </c>
      <c r="K7" s="13" t="s">
        <v>28</v>
      </c>
    </row>
    <row r="8" spans="1:18" ht="15.75" x14ac:dyDescent="0.25">
      <c r="A8" s="15" t="s">
        <v>5</v>
      </c>
      <c r="B8" s="32">
        <v>2</v>
      </c>
      <c r="C8" s="33"/>
      <c r="D8" s="34"/>
      <c r="F8" s="14">
        <f>B8</f>
        <v>2</v>
      </c>
      <c r="G8" s="9">
        <f>F8^4 + 24*F8^3 + 194*F8^2+ 576*F8 + 405</f>
        <v>2541</v>
      </c>
      <c r="H8" s="9">
        <f>4*F8^3 + 72*F8^2 + 388*F8 + 576</f>
        <v>1672</v>
      </c>
      <c r="I8" s="9">
        <f>F8-(G8/H8)</f>
        <v>0.48026315789473695</v>
      </c>
      <c r="J8" s="14">
        <f>0</f>
        <v>0</v>
      </c>
      <c r="L8" t="s">
        <v>25</v>
      </c>
    </row>
    <row r="9" spans="1:18" ht="15.75" x14ac:dyDescent="0.25">
      <c r="A9" s="17"/>
      <c r="B9" s="35"/>
      <c r="C9" s="35"/>
      <c r="D9" s="35"/>
      <c r="F9" s="9">
        <f>I8</f>
        <v>0.48026315789473695</v>
      </c>
      <c r="G9" s="9">
        <f>F9^4 + 24*F9^3 + 194*F9^2+ 576*F9 + 405</f>
        <v>729.08997944446139</v>
      </c>
      <c r="H9" s="9">
        <f>4*F9^3 + 72*F9^2 + 388*F9 + 576</f>
        <v>779.39219570090404</v>
      </c>
      <c r="I9" s="9">
        <f>F9-(G9/H9)</f>
        <v>-0.45519652911020403</v>
      </c>
      <c r="J9" s="14">
        <f>ABS(I9-I8)/I9</f>
        <v>-2.0550677063235345</v>
      </c>
    </row>
    <row r="10" spans="1:18" ht="15.75" x14ac:dyDescent="0.25">
      <c r="A10" s="16"/>
      <c r="B10" s="36"/>
      <c r="C10" s="36"/>
      <c r="D10" s="36"/>
      <c r="F10" s="9">
        <f t="shared" ref="F10:F13" si="0">I9</f>
        <v>-0.45519652911020403</v>
      </c>
      <c r="G10" s="9">
        <f t="shared" ref="G10:G13" si="1">F10^4 + 24*F10^3 + 194*F10^2+ 576*F10 + 405</f>
        <v>180.78364173346313</v>
      </c>
      <c r="H10" s="9">
        <f t="shared" ref="H10:H13" si="2">4*F10^3 + 72*F10^2 + 388*F10 + 576</f>
        <v>413.92515212526297</v>
      </c>
      <c r="I10" s="9">
        <f t="shared" ref="I10:I13" si="3">F10-(G10/H10)</f>
        <v>-0.89195095392649049</v>
      </c>
      <c r="J10" s="14">
        <f t="shared" ref="J10:J13" si="4">ABS(I10-I9)/I10</f>
        <v>-0.48966192916060414</v>
      </c>
    </row>
    <row r="11" spans="1:18" ht="15.75" x14ac:dyDescent="0.25">
      <c r="A11" s="16"/>
      <c r="B11" s="36"/>
      <c r="C11" s="36"/>
      <c r="D11" s="36"/>
      <c r="F11" s="9">
        <f t="shared" si="0"/>
        <v>-0.89195095392649049</v>
      </c>
      <c r="G11" s="9">
        <f t="shared" si="1"/>
        <v>29.180269004759339</v>
      </c>
      <c r="H11" s="9">
        <f t="shared" si="2"/>
        <v>284.36607729226102</v>
      </c>
      <c r="I11" s="9">
        <f t="shared" si="3"/>
        <v>-0.99456610859829375</v>
      </c>
      <c r="J11" s="14">
        <f t="shared" si="4"/>
        <v>-0.10317580076846318</v>
      </c>
    </row>
    <row r="12" spans="1:18" x14ac:dyDescent="0.25">
      <c r="F12" s="9">
        <f t="shared" si="0"/>
        <v>-0.99456610859829375</v>
      </c>
      <c r="G12" s="9">
        <f t="shared" si="1"/>
        <v>1.3948588871559195</v>
      </c>
      <c r="H12" s="9">
        <f t="shared" si="2"/>
        <v>257.39284847117261</v>
      </c>
      <c r="I12" s="9">
        <f t="shared" si="3"/>
        <v>-0.99998529135896841</v>
      </c>
      <c r="J12" s="14">
        <f t="shared" si="4"/>
        <v>-5.4192624706609939E-3</v>
      </c>
    </row>
    <row r="13" spans="1:18" ht="15.75" x14ac:dyDescent="0.25">
      <c r="F13" s="9">
        <f t="shared" si="0"/>
        <v>-0.99998529135896841</v>
      </c>
      <c r="G13" s="9">
        <f t="shared" si="1"/>
        <v>3.7654397962114672E-3</v>
      </c>
      <c r="H13" s="9">
        <f t="shared" si="2"/>
        <v>256.00376542508474</v>
      </c>
      <c r="I13" s="9">
        <f t="shared" si="3"/>
        <v>-0.99999999989182908</v>
      </c>
      <c r="J13" s="14">
        <f t="shared" si="4"/>
        <v>-1.4708532862265453E-5</v>
      </c>
      <c r="K13" s="37">
        <v>-1</v>
      </c>
    </row>
    <row r="14" spans="1:18" x14ac:dyDescent="0.25">
      <c r="F14" s="9"/>
      <c r="G14" s="9"/>
      <c r="H14" s="9"/>
      <c r="I14" s="9"/>
      <c r="J14" s="14"/>
    </row>
    <row r="15" spans="1:18" x14ac:dyDescent="0.25">
      <c r="F15" s="13" t="s">
        <v>22</v>
      </c>
      <c r="G15" s="13" t="s">
        <v>20</v>
      </c>
      <c r="H15" s="13" t="s">
        <v>21</v>
      </c>
      <c r="I15" s="13" t="s">
        <v>24</v>
      </c>
      <c r="J15" s="13" t="s">
        <v>23</v>
      </c>
    </row>
    <row r="16" spans="1:18" x14ac:dyDescent="0.25">
      <c r="F16" s="14">
        <v>2</v>
      </c>
      <c r="G16" s="9">
        <f>F16^3 + 23*F16^2 + 171*F16 + 405</f>
        <v>847</v>
      </c>
      <c r="H16" s="9">
        <f>3*F16^2 + 46*F16 + 171</f>
        <v>275</v>
      </c>
      <c r="I16" s="9">
        <f>F16-(G16/H16)</f>
        <v>-1.08</v>
      </c>
      <c r="J16" s="14">
        <f>0</f>
        <v>0</v>
      </c>
      <c r="L16" s="12"/>
      <c r="M16" s="12"/>
      <c r="N16" s="12"/>
      <c r="O16" s="12"/>
      <c r="P16" s="12"/>
      <c r="Q16" t="str">
        <f t="shared" ref="Q16" si="5">IF(P16&lt;Q8,"Fin","")</f>
        <v/>
      </c>
    </row>
    <row r="17" spans="6:16" x14ac:dyDescent="0.25">
      <c r="F17" s="9">
        <f>I16</f>
        <v>-1.08</v>
      </c>
      <c r="G17" s="9">
        <f>F17^3 + 23*F17^2 + 171*F17 + 405</f>
        <v>245.88748799999999</v>
      </c>
      <c r="H17" s="9">
        <f>3*F17^2 + 46*F17 + 171</f>
        <v>124.8192</v>
      </c>
      <c r="I17" s="9">
        <f>F17-(G17/H17)</f>
        <v>-3.0499492385786802</v>
      </c>
      <c r="J17" s="14">
        <f>ABS(I17-I16)/I17</f>
        <v>-0.64589574595566202</v>
      </c>
      <c r="L17" s="12"/>
      <c r="M17" s="12"/>
      <c r="N17" s="12"/>
      <c r="O17" s="12"/>
      <c r="P17" s="12"/>
    </row>
    <row r="18" spans="6:16" x14ac:dyDescent="0.25">
      <c r="F18" s="9">
        <f t="shared" ref="F18:F21" si="6">I17</f>
        <v>-3.0499492385786802</v>
      </c>
      <c r="G18" s="9">
        <f t="shared" ref="G18:G21" si="7">F18^3 + 23*F18^2 + 171*F18 + 405</f>
        <v>69.037850035687711</v>
      </c>
      <c r="H18" s="9">
        <f t="shared" ref="H18:H21" si="8">3*F18^2 + 46*F18 + 171</f>
        <v>58.608906099100722</v>
      </c>
      <c r="I18" s="9">
        <f t="shared" ref="I18:I21" si="9">F18-(G18/H18)</f>
        <v>-4.2278905214095328</v>
      </c>
      <c r="J18" s="14">
        <f t="shared" ref="J18:J21" si="10">ABS(I18-I17)/I18</f>
        <v>-0.27861205886621204</v>
      </c>
      <c r="L18" s="12"/>
      <c r="M18" s="12"/>
      <c r="N18" s="12"/>
      <c r="O18" s="12"/>
      <c r="P18" s="12"/>
    </row>
    <row r="19" spans="6:16" x14ac:dyDescent="0.25">
      <c r="F19" s="9">
        <f t="shared" si="6"/>
        <v>-4.2278905214095328</v>
      </c>
      <c r="G19" s="9">
        <f t="shared" si="7"/>
        <v>17.583271451106043</v>
      </c>
      <c r="H19" s="9">
        <f t="shared" si="8"/>
        <v>30.142210798235197</v>
      </c>
      <c r="I19" s="9">
        <f t="shared" si="9"/>
        <v>-4.8112343102511774</v>
      </c>
      <c r="J19" s="14">
        <f t="shared" si="10"/>
        <v>-0.12124618158769122</v>
      </c>
      <c r="L19" s="12"/>
      <c r="M19" s="12"/>
      <c r="N19" s="12"/>
      <c r="O19" s="12"/>
      <c r="P19" s="12"/>
    </row>
    <row r="20" spans="6:16" x14ac:dyDescent="0.25">
      <c r="F20" s="9">
        <f t="shared" si="6"/>
        <v>-4.8112343102511774</v>
      </c>
      <c r="G20" s="9">
        <f t="shared" si="7"/>
        <v>3.3120371117187233</v>
      </c>
      <c r="H20" s="9">
        <f t="shared" si="8"/>
        <v>19.127148492860215</v>
      </c>
      <c r="I20" s="9">
        <f t="shared" si="9"/>
        <v>-4.9843932687313206</v>
      </c>
      <c r="J20" s="14">
        <f t="shared" si="10"/>
        <v>-3.4740227976476939E-2</v>
      </c>
      <c r="L20" s="12"/>
      <c r="M20" s="12"/>
      <c r="N20" s="12"/>
      <c r="O20" s="12"/>
      <c r="P20" s="12"/>
    </row>
    <row r="21" spans="6:16" ht="15.75" x14ac:dyDescent="0.25">
      <c r="F21" s="9">
        <f t="shared" si="6"/>
        <v>-4.9843932687313206</v>
      </c>
      <c r="G21" s="9">
        <f t="shared" si="7"/>
        <v>0.2516600621184466</v>
      </c>
      <c r="H21" s="9">
        <f t="shared" si="8"/>
        <v>16.250438410481536</v>
      </c>
      <c r="I21" s="9">
        <f t="shared" si="9"/>
        <v>-4.9998796239767351</v>
      </c>
      <c r="J21" s="14">
        <f t="shared" si="10"/>
        <v>-3.0973456183125479E-3</v>
      </c>
      <c r="K21" s="37">
        <v>-5</v>
      </c>
    </row>
    <row r="22" spans="6:16" x14ac:dyDescent="0.25">
      <c r="F22" s="9"/>
      <c r="G22" s="9"/>
      <c r="H22" s="9"/>
      <c r="I22" s="9"/>
      <c r="J22" s="14"/>
    </row>
    <row r="23" spans="6:16" x14ac:dyDescent="0.25">
      <c r="F23" s="13" t="s">
        <v>22</v>
      </c>
      <c r="G23" s="13" t="s">
        <v>20</v>
      </c>
      <c r="H23" s="13" t="s">
        <v>21</v>
      </c>
      <c r="I23" s="13" t="s">
        <v>24</v>
      </c>
      <c r="J23" s="13" t="s">
        <v>23</v>
      </c>
    </row>
    <row r="24" spans="6:16" x14ac:dyDescent="0.25">
      <c r="F24" s="14">
        <v>2</v>
      </c>
      <c r="G24" s="9">
        <f>F24^2 + 18*F24 + 81</f>
        <v>121</v>
      </c>
      <c r="H24" s="9">
        <f>2*F24 + 18</f>
        <v>22</v>
      </c>
      <c r="I24" s="9">
        <f>F24-(G24/H24)</f>
        <v>-3.5</v>
      </c>
      <c r="J24" s="14">
        <f>0</f>
        <v>0</v>
      </c>
    </row>
    <row r="25" spans="6:16" x14ac:dyDescent="0.25">
      <c r="F25" s="9">
        <f>I24</f>
        <v>-3.5</v>
      </c>
      <c r="G25" s="9">
        <f>F25^2 + 18*F25 + 81</f>
        <v>30.25</v>
      </c>
      <c r="H25" s="9">
        <f>2*F25 + 18</f>
        <v>11</v>
      </c>
      <c r="I25" s="9">
        <f>F25-(G25/H25)</f>
        <v>-6.25</v>
      </c>
      <c r="J25" s="14">
        <f>ABS(I25-I24)/I25</f>
        <v>-0.44</v>
      </c>
    </row>
    <row r="26" spans="6:16" x14ac:dyDescent="0.25">
      <c r="F26" s="9">
        <f t="shared" ref="F26:F35" si="11">I25</f>
        <v>-6.25</v>
      </c>
      <c r="G26" s="9">
        <f t="shared" ref="G26:G48" si="12">F26^2 + 18*F26 + 81</f>
        <v>7.5625</v>
      </c>
      <c r="H26" s="9">
        <f t="shared" ref="H26:H35" si="13">2*F26 + 18</f>
        <v>5.5</v>
      </c>
      <c r="I26" s="9">
        <f t="shared" ref="I26:I35" si="14">F26-(G26/H26)</f>
        <v>-7.625</v>
      </c>
      <c r="J26" s="14">
        <f t="shared" ref="J26:J48" si="15">ABS(I26-I25)/I26</f>
        <v>-0.18032786885245902</v>
      </c>
    </row>
    <row r="27" spans="6:16" x14ac:dyDescent="0.25">
      <c r="F27" s="9">
        <f t="shared" si="11"/>
        <v>-7.625</v>
      </c>
      <c r="G27" s="9">
        <f t="shared" si="12"/>
        <v>1.890625</v>
      </c>
      <c r="H27" s="9">
        <f t="shared" si="13"/>
        <v>2.75</v>
      </c>
      <c r="I27" s="9">
        <f t="shared" si="14"/>
        <v>-8.3125</v>
      </c>
      <c r="J27" s="14">
        <f t="shared" si="15"/>
        <v>-8.2706766917293228E-2</v>
      </c>
    </row>
    <row r="28" spans="6:16" x14ac:dyDescent="0.25">
      <c r="F28" s="9">
        <f t="shared" si="11"/>
        <v>-8.3125</v>
      </c>
      <c r="G28" s="9">
        <f t="shared" si="12"/>
        <v>0.47265625</v>
      </c>
      <c r="H28" s="9">
        <f t="shared" si="13"/>
        <v>1.375</v>
      </c>
      <c r="I28" s="9">
        <f t="shared" si="14"/>
        <v>-8.65625</v>
      </c>
      <c r="J28" s="14">
        <f t="shared" si="15"/>
        <v>-3.9711191335740074E-2</v>
      </c>
    </row>
    <row r="29" spans="6:16" x14ac:dyDescent="0.25">
      <c r="F29" s="9">
        <f t="shared" si="11"/>
        <v>-8.65625</v>
      </c>
      <c r="G29" s="9">
        <f t="shared" si="12"/>
        <v>0.1181640625</v>
      </c>
      <c r="H29" s="9">
        <f t="shared" si="13"/>
        <v>0.6875</v>
      </c>
      <c r="I29" s="9">
        <f t="shared" si="14"/>
        <v>-8.828125</v>
      </c>
      <c r="J29" s="14">
        <f t="shared" si="15"/>
        <v>-1.9469026548672566E-2</v>
      </c>
    </row>
    <row r="30" spans="6:16" x14ac:dyDescent="0.25">
      <c r="F30" s="9">
        <f t="shared" si="11"/>
        <v>-8.828125</v>
      </c>
      <c r="G30" s="9">
        <f t="shared" si="12"/>
        <v>2.9541015625E-2</v>
      </c>
      <c r="H30" s="9">
        <f t="shared" si="13"/>
        <v>0.34375</v>
      </c>
      <c r="I30" s="9">
        <f t="shared" si="14"/>
        <v>-8.9140625</v>
      </c>
      <c r="J30" s="14">
        <f t="shared" si="15"/>
        <v>-9.6406660823838732E-3</v>
      </c>
    </row>
    <row r="31" spans="6:16" x14ac:dyDescent="0.25">
      <c r="F31" s="9">
        <f t="shared" si="11"/>
        <v>-8.9140625</v>
      </c>
      <c r="G31" s="9">
        <f t="shared" si="12"/>
        <v>7.38525390625E-3</v>
      </c>
      <c r="H31" s="9">
        <f t="shared" si="13"/>
        <v>0.171875</v>
      </c>
      <c r="I31" s="9">
        <f t="shared" si="14"/>
        <v>-8.95703125</v>
      </c>
      <c r="J31" s="14">
        <f t="shared" si="15"/>
        <v>-4.7972088966419541E-3</v>
      </c>
    </row>
    <row r="32" spans="6:16" x14ac:dyDescent="0.25">
      <c r="F32" s="9">
        <f t="shared" si="11"/>
        <v>-8.95703125</v>
      </c>
      <c r="G32" s="9">
        <f t="shared" si="12"/>
        <v>1.8463134765625E-3</v>
      </c>
      <c r="H32" s="9">
        <f t="shared" si="13"/>
        <v>8.59375E-2</v>
      </c>
      <c r="I32" s="9">
        <f t="shared" si="14"/>
        <v>-8.978515625</v>
      </c>
      <c r="J32" s="14">
        <f t="shared" si="15"/>
        <v>-2.3928649118990647E-3</v>
      </c>
    </row>
    <row r="33" spans="6:11" x14ac:dyDescent="0.25">
      <c r="F33" s="9">
        <f t="shared" si="11"/>
        <v>-8.978515625</v>
      </c>
      <c r="G33" s="9">
        <f t="shared" si="12"/>
        <v>4.61578369140625E-4</v>
      </c>
      <c r="H33" s="9">
        <f t="shared" si="13"/>
        <v>4.296875E-2</v>
      </c>
      <c r="I33" s="9">
        <f t="shared" si="14"/>
        <v>-8.9892578125</v>
      </c>
      <c r="J33" s="14">
        <f t="shared" si="15"/>
        <v>-1.1950027159152634E-3</v>
      </c>
    </row>
    <row r="34" spans="6:11" x14ac:dyDescent="0.25">
      <c r="F34" s="9">
        <f t="shared" si="11"/>
        <v>-8.9892578125</v>
      </c>
      <c r="G34" s="9">
        <f t="shared" si="12"/>
        <v>1.1539459228515625E-4</v>
      </c>
      <c r="H34" s="9">
        <f t="shared" si="13"/>
        <v>2.1484375E-2</v>
      </c>
      <c r="I34" s="9">
        <f t="shared" si="14"/>
        <v>-8.99462890625</v>
      </c>
      <c r="J34" s="14">
        <f t="shared" si="15"/>
        <v>-5.971445632701808E-4</v>
      </c>
    </row>
    <row r="35" spans="6:11" x14ac:dyDescent="0.25">
      <c r="F35" s="9">
        <f t="shared" si="11"/>
        <v>-8.99462890625</v>
      </c>
      <c r="G35" s="9">
        <f t="shared" si="12"/>
        <v>2.8848648071289063E-5</v>
      </c>
      <c r="H35" s="9">
        <f t="shared" si="13"/>
        <v>1.07421875E-2</v>
      </c>
      <c r="I35" s="9">
        <f t="shared" si="14"/>
        <v>-8.997314453125</v>
      </c>
      <c r="J35" s="14">
        <f t="shared" si="15"/>
        <v>-2.9848316283613276E-4</v>
      </c>
    </row>
    <row r="36" spans="6:11" x14ac:dyDescent="0.25">
      <c r="F36" s="9">
        <f>I35</f>
        <v>-8.997314453125</v>
      </c>
      <c r="G36" s="9">
        <f>F36^2 + 18*F36 + 81</f>
        <v>7.2121620178222656E-6</v>
      </c>
      <c r="H36" s="9">
        <f>2*F36 + 18</f>
        <v>5.37109375E-3</v>
      </c>
      <c r="I36" s="9">
        <f>F36-(G36/H36)</f>
        <v>-8.9986572265625</v>
      </c>
      <c r="J36" s="14">
        <f>ABS(I36-I35)/I36</f>
        <v>-1.4921931169201134E-4</v>
      </c>
    </row>
    <row r="37" spans="6:11" x14ac:dyDescent="0.25">
      <c r="F37" s="9">
        <f t="shared" ref="F37:F40" si="16">I36</f>
        <v>-8.9986572265625</v>
      </c>
      <c r="G37" s="9">
        <f t="shared" si="12"/>
        <v>1.8030405044555664E-6</v>
      </c>
      <c r="H37" s="9">
        <f t="shared" ref="H37:H40" si="17">2*F37 + 18</f>
        <v>2.685546875E-3</v>
      </c>
      <c r="I37" s="9">
        <f t="shared" ref="I37:I40" si="18">F37-(G37/H37)</f>
        <v>-8.99932861328125</v>
      </c>
      <c r="J37" s="14">
        <f t="shared" si="15"/>
        <v>-7.4604089660551396E-5</v>
      </c>
    </row>
    <row r="38" spans="6:11" x14ac:dyDescent="0.25">
      <c r="F38" s="9">
        <f t="shared" si="16"/>
        <v>-8.99932861328125</v>
      </c>
      <c r="G38" s="9">
        <f t="shared" si="12"/>
        <v>4.507601261138916E-7</v>
      </c>
      <c r="H38" s="9">
        <f t="shared" si="17"/>
        <v>1.3427734375E-3</v>
      </c>
      <c r="I38" s="9">
        <f t="shared" si="18"/>
        <v>-8.999664306640625</v>
      </c>
      <c r="J38" s="14">
        <f t="shared" si="15"/>
        <v>-3.7300653439628895E-5</v>
      </c>
    </row>
    <row r="39" spans="6:11" x14ac:dyDescent="0.25">
      <c r="F39" s="9">
        <f t="shared" si="16"/>
        <v>-8.999664306640625</v>
      </c>
      <c r="G39" s="9">
        <f t="shared" si="12"/>
        <v>1.126900315284729E-7</v>
      </c>
      <c r="H39" s="9">
        <f t="shared" si="17"/>
        <v>6.7138671875E-4</v>
      </c>
      <c r="I39" s="9">
        <f t="shared" si="18"/>
        <v>-8.9998321533203125</v>
      </c>
      <c r="J39" s="14">
        <f t="shared" si="15"/>
        <v>-1.8649978891614801E-5</v>
      </c>
    </row>
    <row r="40" spans="6:11" x14ac:dyDescent="0.25">
      <c r="F40" s="9">
        <f t="shared" si="16"/>
        <v>-8.9998321533203125</v>
      </c>
      <c r="G40" s="9">
        <f t="shared" si="12"/>
        <v>2.8172507882118225E-8</v>
      </c>
      <c r="H40" s="9">
        <f t="shared" si="17"/>
        <v>3.35693359375E-4</v>
      </c>
      <c r="I40" s="9">
        <f t="shared" si="18"/>
        <v>-8.9999160766601563</v>
      </c>
      <c r="J40" s="14">
        <f t="shared" si="15"/>
        <v>-9.3249024911900862E-6</v>
      </c>
    </row>
    <row r="41" spans="6:11" x14ac:dyDescent="0.25">
      <c r="F41" s="9">
        <f t="shared" ref="F41:F47" si="19">I40</f>
        <v>-8.9999160766601563</v>
      </c>
      <c r="G41" s="9">
        <f t="shared" si="12"/>
        <v>7.0431269705295563E-9</v>
      </c>
      <c r="H41" s="9">
        <f t="shared" ref="H41:H47" si="20">2*F41 + 18</f>
        <v>1.678466796875E-4</v>
      </c>
      <c r="I41" s="9">
        <f t="shared" ref="I41:I47" si="21">F41-(G41/H41)</f>
        <v>-8.9999580383300781</v>
      </c>
      <c r="J41" s="14">
        <f t="shared" si="15"/>
        <v>-4.6624295072447798E-6</v>
      </c>
    </row>
    <row r="42" spans="6:11" x14ac:dyDescent="0.25">
      <c r="F42" s="9">
        <f t="shared" si="19"/>
        <v>-8.9999580383300781</v>
      </c>
      <c r="G42" s="9">
        <f t="shared" si="12"/>
        <v>1.7607817426323891E-9</v>
      </c>
      <c r="H42" s="9">
        <f t="shared" si="20"/>
        <v>8.392333984375E-5</v>
      </c>
      <c r="I42" s="9">
        <f t="shared" si="21"/>
        <v>-8.9999790191650391</v>
      </c>
      <c r="J42" s="14">
        <f t="shared" si="15"/>
        <v>-2.3312093190728315E-6</v>
      </c>
    </row>
    <row r="43" spans="6:11" x14ac:dyDescent="0.25">
      <c r="F43" s="9">
        <f t="shared" si="19"/>
        <v>-8.9999790191650391</v>
      </c>
      <c r="G43" s="9">
        <f t="shared" si="12"/>
        <v>4.4019543565809727E-10</v>
      </c>
      <c r="H43" s="9">
        <f t="shared" si="20"/>
        <v>4.1961669921875E-5</v>
      </c>
      <c r="I43" s="9">
        <f t="shared" si="21"/>
        <v>-8.9999895095825195</v>
      </c>
      <c r="J43" s="14">
        <f t="shared" si="15"/>
        <v>-1.165603300903777E-6</v>
      </c>
    </row>
    <row r="44" spans="6:11" x14ac:dyDescent="0.25">
      <c r="F44" s="9">
        <f t="shared" si="19"/>
        <v>-8.9999895095825195</v>
      </c>
      <c r="G44" s="9">
        <f t="shared" si="12"/>
        <v>1.1004885891452432E-10</v>
      </c>
      <c r="H44" s="9">
        <f t="shared" si="20"/>
        <v>2.09808349609375E-5</v>
      </c>
      <c r="I44" s="9">
        <f t="shared" si="21"/>
        <v>-8.9999947547912598</v>
      </c>
      <c r="J44" s="14">
        <f t="shared" si="15"/>
        <v>-5.8280131079432266E-7</v>
      </c>
    </row>
    <row r="45" spans="6:11" x14ac:dyDescent="0.25">
      <c r="F45" s="9">
        <f t="shared" si="19"/>
        <v>-8.9999947547912598</v>
      </c>
      <c r="G45" s="9">
        <f t="shared" si="12"/>
        <v>2.7512214728631079E-11</v>
      </c>
      <c r="H45" s="9">
        <f t="shared" si="20"/>
        <v>1.049041748046875E-5</v>
      </c>
      <c r="I45" s="9">
        <f t="shared" si="21"/>
        <v>-8.9999973773956299</v>
      </c>
      <c r="J45" s="14">
        <f t="shared" si="15"/>
        <v>-2.9140057048284412E-7</v>
      </c>
    </row>
    <row r="46" spans="6:11" x14ac:dyDescent="0.25">
      <c r="F46" s="9">
        <f t="shared" si="19"/>
        <v>-8.9999973773956299</v>
      </c>
      <c r="G46" s="9">
        <f t="shared" si="12"/>
        <v>6.8780536821577698E-12</v>
      </c>
      <c r="H46" s="9">
        <f t="shared" si="20"/>
        <v>5.245208740234375E-6</v>
      </c>
      <c r="I46" s="9">
        <f t="shared" si="21"/>
        <v>-8.9999986886978149</v>
      </c>
      <c r="J46" s="14">
        <f t="shared" si="15"/>
        <v>-1.4570026401285202E-7</v>
      </c>
    </row>
    <row r="47" spans="6:11" x14ac:dyDescent="0.25">
      <c r="F47" s="9">
        <f t="shared" si="19"/>
        <v>-8.9999986886978149</v>
      </c>
      <c r="G47" s="9">
        <f t="shared" si="12"/>
        <v>1.7195134205394424E-12</v>
      </c>
      <c r="H47" s="9">
        <f t="shared" si="20"/>
        <v>2.6226043701171875E-6</v>
      </c>
      <c r="I47" s="9">
        <f t="shared" si="21"/>
        <v>-8.9999993443489075</v>
      </c>
      <c r="J47" s="14">
        <f t="shared" si="15"/>
        <v>-7.2850126699284674E-8</v>
      </c>
    </row>
    <row r="48" spans="6:11" ht="15.75" x14ac:dyDescent="0.25">
      <c r="F48" s="9">
        <f t="shared" ref="F48" si="22">I47</f>
        <v>-8.9999993443489075</v>
      </c>
      <c r="G48" s="9">
        <f t="shared" si="12"/>
        <v>4.2632564145606011E-13</v>
      </c>
      <c r="H48" s="9">
        <f t="shared" ref="H48" si="23">2*F48 + 18</f>
        <v>1.3113021850585938E-6</v>
      </c>
      <c r="I48" s="9">
        <f t="shared" ref="I48" si="24">F48-(G48/H48)</f>
        <v>-8.9999996694651525</v>
      </c>
      <c r="J48" s="14">
        <f t="shared" si="15"/>
        <v>-3.6124028553009847E-8</v>
      </c>
      <c r="K48" s="37">
        <v>-9</v>
      </c>
    </row>
    <row r="49" spans="6:11" x14ac:dyDescent="0.25">
      <c r="F49" s="9"/>
      <c r="G49" s="9"/>
      <c r="H49" s="9"/>
      <c r="I49" s="9"/>
      <c r="J49" s="14"/>
    </row>
    <row r="50" spans="6:11" x14ac:dyDescent="0.25">
      <c r="F50" s="9"/>
      <c r="G50" s="9"/>
      <c r="H50" s="9"/>
      <c r="I50" s="9"/>
      <c r="J50" s="14"/>
    </row>
    <row r="51" spans="6:11" x14ac:dyDescent="0.25">
      <c r="F51" s="13" t="s">
        <v>22</v>
      </c>
      <c r="G51" s="13" t="s">
        <v>20</v>
      </c>
      <c r="H51" s="13" t="s">
        <v>21</v>
      </c>
      <c r="I51" s="13" t="s">
        <v>24</v>
      </c>
      <c r="J51" s="13" t="s">
        <v>23</v>
      </c>
    </row>
    <row r="52" spans="6:11" x14ac:dyDescent="0.25">
      <c r="F52" s="14">
        <v>2</v>
      </c>
      <c r="G52" s="9">
        <f>F52+9</f>
        <v>11</v>
      </c>
      <c r="H52" s="9">
        <v>1</v>
      </c>
      <c r="I52" s="9">
        <f>F52-(G52/H52)</f>
        <v>-9</v>
      </c>
      <c r="J52" s="14">
        <f>0</f>
        <v>0</v>
      </c>
    </row>
    <row r="53" spans="6:11" x14ac:dyDescent="0.25">
      <c r="F53" s="9">
        <f>I52</f>
        <v>-9</v>
      </c>
      <c r="G53" s="9">
        <f>F53+9</f>
        <v>0</v>
      </c>
      <c r="H53" s="9">
        <v>2</v>
      </c>
      <c r="I53" s="9">
        <f>F53-(G53/H53)</f>
        <v>-9</v>
      </c>
      <c r="J53" s="14">
        <f>ABS(I53-I52)/I53</f>
        <v>0</v>
      </c>
    </row>
    <row r="54" spans="6:11" x14ac:dyDescent="0.25">
      <c r="F54" s="9">
        <f t="shared" ref="F54:F57" si="25">I53</f>
        <v>-9</v>
      </c>
      <c r="G54" s="9">
        <f t="shared" ref="G54:G57" si="26">F54+9</f>
        <v>0</v>
      </c>
      <c r="H54" s="9">
        <v>3</v>
      </c>
      <c r="I54" s="9">
        <f t="shared" ref="I54:I57" si="27">F54-(G54/H54)</f>
        <v>-9</v>
      </c>
      <c r="J54" s="14">
        <f t="shared" ref="J54:J57" si="28">ABS(I54-I53)/I54</f>
        <v>0</v>
      </c>
    </row>
    <row r="55" spans="6:11" x14ac:dyDescent="0.25">
      <c r="F55" s="9">
        <f t="shared" si="25"/>
        <v>-9</v>
      </c>
      <c r="G55" s="9">
        <f t="shared" si="26"/>
        <v>0</v>
      </c>
      <c r="H55" s="9">
        <v>4</v>
      </c>
      <c r="I55" s="9">
        <f t="shared" si="27"/>
        <v>-9</v>
      </c>
      <c r="J55" s="14">
        <f t="shared" si="28"/>
        <v>0</v>
      </c>
    </row>
    <row r="56" spans="6:11" x14ac:dyDescent="0.25">
      <c r="F56" s="9">
        <f t="shared" si="25"/>
        <v>-9</v>
      </c>
      <c r="G56" s="9">
        <f t="shared" si="26"/>
        <v>0</v>
      </c>
      <c r="H56" s="9">
        <v>5</v>
      </c>
      <c r="I56" s="9">
        <f t="shared" si="27"/>
        <v>-9</v>
      </c>
      <c r="J56" s="14">
        <f t="shared" si="28"/>
        <v>0</v>
      </c>
    </row>
    <row r="57" spans="6:11" ht="15.75" x14ac:dyDescent="0.25">
      <c r="F57" s="9">
        <f t="shared" si="25"/>
        <v>-9</v>
      </c>
      <c r="G57" s="9">
        <f t="shared" si="26"/>
        <v>0</v>
      </c>
      <c r="H57" s="9">
        <v>6</v>
      </c>
      <c r="I57" s="9">
        <f t="shared" si="27"/>
        <v>-9</v>
      </c>
      <c r="J57" s="14">
        <f t="shared" si="28"/>
        <v>0</v>
      </c>
      <c r="K57" s="37">
        <v>-9</v>
      </c>
    </row>
    <row r="58" spans="6:11" x14ac:dyDescent="0.25">
      <c r="F58" s="9"/>
      <c r="G58" s="9"/>
      <c r="H58" s="9"/>
      <c r="I58" s="9"/>
      <c r="J58" s="14"/>
    </row>
    <row r="59" spans="6:11" x14ac:dyDescent="0.25">
      <c r="F59" s="9"/>
      <c r="G59" s="9"/>
      <c r="H59" s="9"/>
      <c r="I59" s="9"/>
      <c r="J59" s="14"/>
    </row>
    <row r="60" spans="6:11" x14ac:dyDescent="0.25">
      <c r="F60" s="9"/>
      <c r="G60" s="9"/>
      <c r="H60" s="9"/>
      <c r="I60" s="9"/>
      <c r="J60" s="14"/>
    </row>
    <row r="61" spans="6:11" x14ac:dyDescent="0.25">
      <c r="F61" s="9"/>
      <c r="G61" s="9"/>
      <c r="H61" s="9"/>
      <c r="I61" s="9"/>
      <c r="J61" s="14"/>
    </row>
    <row r="62" spans="6:11" x14ac:dyDescent="0.25">
      <c r="F62" s="9"/>
      <c r="G62" s="9"/>
      <c r="H62" s="9"/>
      <c r="I62" s="9"/>
      <c r="J62" s="14"/>
    </row>
    <row r="63" spans="6:11" x14ac:dyDescent="0.25">
      <c r="F63" s="9"/>
      <c r="G63" s="9"/>
      <c r="H63" s="9"/>
      <c r="I63" s="9"/>
      <c r="J63" s="14"/>
    </row>
    <row r="64" spans="6:11" x14ac:dyDescent="0.25">
      <c r="F64" s="9"/>
      <c r="G64" s="9"/>
      <c r="H64" s="9"/>
      <c r="I64" s="9"/>
      <c r="J64" s="14"/>
    </row>
    <row r="65" spans="6:10" x14ac:dyDescent="0.25">
      <c r="F65" s="9"/>
      <c r="G65" s="9"/>
      <c r="H65" s="9"/>
      <c r="I65" s="9"/>
      <c r="J65" s="14"/>
    </row>
    <row r="66" spans="6:10" x14ac:dyDescent="0.25">
      <c r="F66" s="9"/>
      <c r="G66" s="9"/>
      <c r="H66" s="9"/>
      <c r="I66" s="9"/>
      <c r="J66" s="14"/>
    </row>
    <row r="67" spans="6:10" x14ac:dyDescent="0.25">
      <c r="F67" s="9"/>
      <c r="G67" s="9"/>
      <c r="H67" s="9"/>
      <c r="I67" s="9"/>
      <c r="J67" s="14"/>
    </row>
    <row r="68" spans="6:10" x14ac:dyDescent="0.25">
      <c r="F68" s="9"/>
      <c r="G68" s="9"/>
      <c r="H68" s="9"/>
      <c r="I68" s="9"/>
      <c r="J68" s="14"/>
    </row>
    <row r="69" spans="6:10" x14ac:dyDescent="0.25">
      <c r="F69" s="9"/>
      <c r="G69" s="9"/>
      <c r="H69" s="9"/>
      <c r="I69" s="9"/>
      <c r="J69" s="14"/>
    </row>
    <row r="70" spans="6:10" x14ac:dyDescent="0.25">
      <c r="F70" s="9"/>
      <c r="G70" s="9"/>
      <c r="H70" s="9"/>
      <c r="I70" s="9"/>
      <c r="J70" s="14"/>
    </row>
    <row r="71" spans="6:10" x14ac:dyDescent="0.25">
      <c r="F71" s="9"/>
      <c r="G71" s="9"/>
      <c r="H71" s="9"/>
      <c r="I71" s="9"/>
      <c r="J71" s="14"/>
    </row>
    <row r="72" spans="6:10" x14ac:dyDescent="0.25">
      <c r="F72" s="9"/>
      <c r="G72" s="9"/>
      <c r="H72" s="9"/>
      <c r="I72" s="9"/>
      <c r="J72" s="14"/>
    </row>
    <row r="73" spans="6:10" x14ac:dyDescent="0.25">
      <c r="F73" s="9"/>
      <c r="G73" s="9"/>
      <c r="H73" s="9"/>
      <c r="I73" s="9"/>
      <c r="J73" s="14"/>
    </row>
    <row r="74" spans="6:10" x14ac:dyDescent="0.25">
      <c r="F74" s="9"/>
      <c r="G74" s="9"/>
      <c r="H74" s="9"/>
      <c r="I74" s="9"/>
      <c r="J74" s="14"/>
    </row>
    <row r="75" spans="6:10" x14ac:dyDescent="0.25">
      <c r="F75" s="9"/>
      <c r="G75" s="9"/>
      <c r="H75" s="9"/>
      <c r="I75" s="9"/>
      <c r="J75" s="14"/>
    </row>
    <row r="76" spans="6:10" x14ac:dyDescent="0.25">
      <c r="F76" s="9"/>
      <c r="G76" s="9"/>
      <c r="H76" s="9"/>
      <c r="I76" s="9"/>
      <c r="J76" s="14"/>
    </row>
    <row r="77" spans="6:10" x14ac:dyDescent="0.25">
      <c r="F77" s="9"/>
      <c r="G77" s="9"/>
      <c r="H77" s="9"/>
      <c r="I77" s="9"/>
      <c r="J77" s="14"/>
    </row>
    <row r="78" spans="6:10" x14ac:dyDescent="0.25">
      <c r="F78" s="9"/>
      <c r="G78" s="9"/>
      <c r="H78" s="9"/>
      <c r="I78" s="9"/>
      <c r="J78" s="14"/>
    </row>
    <row r="79" spans="6:10" x14ac:dyDescent="0.25">
      <c r="F79" s="9"/>
      <c r="G79" s="9"/>
      <c r="H79" s="9"/>
      <c r="I79" s="9"/>
      <c r="J79" s="14"/>
    </row>
    <row r="80" spans="6:10" x14ac:dyDescent="0.25">
      <c r="F80" s="9"/>
      <c r="G80" s="9"/>
      <c r="H80" s="9"/>
      <c r="I80" s="9"/>
      <c r="J80" s="14"/>
    </row>
    <row r="81" spans="6:10" x14ac:dyDescent="0.25">
      <c r="F81" s="9"/>
      <c r="G81" s="9"/>
      <c r="H81" s="9"/>
      <c r="I81" s="9"/>
      <c r="J81" s="14"/>
    </row>
    <row r="82" spans="6:10" x14ac:dyDescent="0.25">
      <c r="F82" s="9"/>
      <c r="G82" s="9"/>
      <c r="H82" s="9"/>
      <c r="I82" s="9"/>
      <c r="J82" s="14"/>
    </row>
    <row r="83" spans="6:10" x14ac:dyDescent="0.25">
      <c r="F83" s="9"/>
      <c r="G83" s="9"/>
      <c r="H83" s="9"/>
      <c r="I83" s="9"/>
      <c r="J83" s="14"/>
    </row>
    <row r="84" spans="6:10" x14ac:dyDescent="0.25">
      <c r="F84" s="9"/>
      <c r="G84" s="9"/>
      <c r="H84" s="9"/>
      <c r="I84" s="9"/>
      <c r="J84" s="14"/>
    </row>
    <row r="85" spans="6:10" x14ac:dyDescent="0.25">
      <c r="F85" s="9"/>
      <c r="G85" s="9"/>
      <c r="H85" s="9"/>
      <c r="I85" s="9"/>
      <c r="J85" s="14"/>
    </row>
    <row r="86" spans="6:10" x14ac:dyDescent="0.25">
      <c r="F86" s="9"/>
      <c r="G86" s="9"/>
      <c r="H86" s="9"/>
      <c r="I86" s="9"/>
      <c r="J86" s="14"/>
    </row>
    <row r="87" spans="6:10" x14ac:dyDescent="0.25">
      <c r="F87" s="9"/>
      <c r="G87" s="9"/>
      <c r="H87" s="9"/>
      <c r="I87" s="9"/>
      <c r="J87" s="14"/>
    </row>
    <row r="88" spans="6:10" x14ac:dyDescent="0.25">
      <c r="F88" s="9"/>
      <c r="G88" s="9"/>
      <c r="H88" s="9"/>
      <c r="I88" s="9"/>
      <c r="J88" s="14"/>
    </row>
    <row r="89" spans="6:10" x14ac:dyDescent="0.25">
      <c r="F89" s="9"/>
      <c r="G89" s="9"/>
      <c r="H89" s="9"/>
      <c r="I89" s="9"/>
      <c r="J89" s="14"/>
    </row>
    <row r="90" spans="6:10" x14ac:dyDescent="0.25">
      <c r="F90" s="9"/>
      <c r="G90" s="9"/>
      <c r="H90" s="9"/>
      <c r="I90" s="9"/>
      <c r="J90" s="14"/>
    </row>
    <row r="91" spans="6:10" x14ac:dyDescent="0.25">
      <c r="F91" s="9"/>
      <c r="G91" s="9"/>
      <c r="H91" s="9"/>
      <c r="I91" s="9"/>
      <c r="J91" s="14"/>
    </row>
    <row r="92" spans="6:10" x14ac:dyDescent="0.25">
      <c r="F92" s="9"/>
      <c r="G92" s="9"/>
      <c r="H92" s="9"/>
      <c r="I92" s="9"/>
      <c r="J92" s="14"/>
    </row>
    <row r="93" spans="6:10" x14ac:dyDescent="0.25">
      <c r="F93" s="9"/>
      <c r="G93" s="9"/>
      <c r="H93" s="9"/>
      <c r="I93" s="9"/>
      <c r="J93" s="14"/>
    </row>
    <row r="94" spans="6:10" x14ac:dyDescent="0.25">
      <c r="F94" s="9"/>
      <c r="G94" s="9"/>
      <c r="H94" s="9"/>
      <c r="I94" s="9"/>
      <c r="J94" s="14"/>
    </row>
    <row r="95" spans="6:10" x14ac:dyDescent="0.25">
      <c r="F95" s="9"/>
      <c r="G95" s="9"/>
      <c r="H95" s="9"/>
      <c r="I95" s="9"/>
      <c r="J95" s="14"/>
    </row>
    <row r="96" spans="6:10" x14ac:dyDescent="0.25">
      <c r="F96" s="9"/>
      <c r="G96" s="9"/>
      <c r="H96" s="9"/>
      <c r="I96" s="9"/>
      <c r="J96" s="14"/>
    </row>
    <row r="97" spans="6:10" x14ac:dyDescent="0.25">
      <c r="F97" s="9"/>
      <c r="G97" s="9"/>
      <c r="H97" s="9"/>
      <c r="I97" s="9"/>
      <c r="J97" s="14"/>
    </row>
    <row r="98" spans="6:10" x14ac:dyDescent="0.25">
      <c r="F98" s="9"/>
      <c r="G98" s="9"/>
      <c r="H98" s="9"/>
      <c r="I98" s="9"/>
      <c r="J98" s="14"/>
    </row>
    <row r="99" spans="6:10" x14ac:dyDescent="0.25">
      <c r="F99" s="9"/>
      <c r="G99" s="9"/>
      <c r="H99" s="9"/>
      <c r="I99" s="9"/>
      <c r="J99" s="14"/>
    </row>
    <row r="100" spans="6:10" x14ac:dyDescent="0.25">
      <c r="F100" s="9"/>
      <c r="G100" s="9"/>
      <c r="H100" s="9"/>
      <c r="I100" s="9"/>
      <c r="J100" s="14"/>
    </row>
    <row r="101" spans="6:10" x14ac:dyDescent="0.25">
      <c r="F101" s="9"/>
      <c r="G101" s="9"/>
      <c r="H101" s="9"/>
      <c r="I101" s="9"/>
      <c r="J101" s="14"/>
    </row>
    <row r="102" spans="6:10" x14ac:dyDescent="0.25">
      <c r="F102" s="9"/>
      <c r="G102" s="9"/>
      <c r="H102" s="9"/>
      <c r="I102" s="9"/>
      <c r="J102" s="14"/>
    </row>
    <row r="103" spans="6:10" x14ac:dyDescent="0.25">
      <c r="F103" s="9"/>
      <c r="G103" s="9"/>
      <c r="H103" s="9"/>
      <c r="I103" s="9"/>
      <c r="J103" s="14"/>
    </row>
    <row r="104" spans="6:10" x14ac:dyDescent="0.25">
      <c r="F104" s="9"/>
      <c r="G104" s="9"/>
      <c r="H104" s="9"/>
      <c r="I104" s="9"/>
      <c r="J104" s="14"/>
    </row>
    <row r="105" spans="6:10" x14ac:dyDescent="0.25">
      <c r="F105" s="9"/>
      <c r="G105" s="9"/>
      <c r="H105" s="9"/>
      <c r="I105" s="9"/>
      <c r="J105" s="14"/>
    </row>
    <row r="106" spans="6:10" x14ac:dyDescent="0.25">
      <c r="F106" s="9"/>
      <c r="G106" s="9"/>
      <c r="H106" s="9"/>
      <c r="I106" s="9"/>
      <c r="J106" s="14"/>
    </row>
    <row r="107" spans="6:10" x14ac:dyDescent="0.25">
      <c r="F107" s="9"/>
      <c r="G107" s="9"/>
      <c r="H107" s="9"/>
      <c r="I107" s="9"/>
      <c r="J107" s="14"/>
    </row>
    <row r="108" spans="6:10" x14ac:dyDescent="0.25">
      <c r="F108" s="9"/>
      <c r="G108" s="9"/>
      <c r="H108" s="9"/>
      <c r="I108" s="9"/>
      <c r="J108" s="14"/>
    </row>
    <row r="109" spans="6:10" x14ac:dyDescent="0.25">
      <c r="F109" s="9"/>
      <c r="G109" s="9"/>
      <c r="H109" s="9"/>
      <c r="I109" s="9"/>
      <c r="J109" s="14"/>
    </row>
    <row r="110" spans="6:10" x14ac:dyDescent="0.25">
      <c r="F110" s="9"/>
      <c r="G110" s="9"/>
      <c r="H110" s="9"/>
      <c r="I110" s="9"/>
      <c r="J110" s="14"/>
    </row>
    <row r="111" spans="6:10" x14ac:dyDescent="0.25">
      <c r="F111" s="9"/>
      <c r="G111" s="9"/>
      <c r="H111" s="9"/>
      <c r="I111" s="9"/>
      <c r="J111" s="14"/>
    </row>
    <row r="112" spans="6:10" x14ac:dyDescent="0.25">
      <c r="F112" s="9"/>
      <c r="G112" s="9"/>
      <c r="H112" s="9"/>
      <c r="I112" s="9"/>
      <c r="J112" s="14"/>
    </row>
    <row r="113" spans="6:10" x14ac:dyDescent="0.25">
      <c r="F113" s="9"/>
      <c r="G113" s="9"/>
      <c r="H113" s="9"/>
      <c r="I113" s="9"/>
      <c r="J113" s="14"/>
    </row>
    <row r="114" spans="6:10" x14ac:dyDescent="0.25">
      <c r="F114" s="9"/>
      <c r="G114" s="9"/>
      <c r="H114" s="9"/>
      <c r="I114" s="9"/>
      <c r="J114" s="14"/>
    </row>
    <row r="115" spans="6:10" x14ac:dyDescent="0.25">
      <c r="F115" s="9"/>
      <c r="G115" s="9"/>
      <c r="H115" s="9"/>
      <c r="I115" s="9"/>
      <c r="J115" s="14"/>
    </row>
    <row r="116" spans="6:10" x14ac:dyDescent="0.25">
      <c r="F116" s="9"/>
      <c r="G116" s="9"/>
      <c r="H116" s="9"/>
      <c r="I116" s="9"/>
      <c r="J116" s="14"/>
    </row>
    <row r="117" spans="6:10" x14ac:dyDescent="0.25">
      <c r="F117" s="9"/>
      <c r="G117" s="9"/>
      <c r="H117" s="9"/>
      <c r="I117" s="9"/>
      <c r="J117" s="14"/>
    </row>
    <row r="118" spans="6:10" x14ac:dyDescent="0.25">
      <c r="F118" s="9"/>
      <c r="G118" s="9"/>
      <c r="H118" s="9"/>
      <c r="I118" s="9"/>
      <c r="J118" s="14"/>
    </row>
    <row r="119" spans="6:10" x14ac:dyDescent="0.25">
      <c r="F119" s="9"/>
      <c r="G119" s="9"/>
      <c r="H119" s="9"/>
      <c r="I119" s="9"/>
      <c r="J119" s="14"/>
    </row>
    <row r="120" spans="6:10" x14ac:dyDescent="0.25">
      <c r="F120" s="9"/>
      <c r="G120" s="9"/>
      <c r="H120" s="9"/>
      <c r="I120" s="9"/>
      <c r="J120" s="14"/>
    </row>
    <row r="121" spans="6:10" x14ac:dyDescent="0.25">
      <c r="F121" s="9"/>
      <c r="G121" s="9"/>
      <c r="H121" s="9"/>
      <c r="I121" s="9"/>
      <c r="J121" s="14"/>
    </row>
    <row r="122" spans="6:10" x14ac:dyDescent="0.25">
      <c r="F122" s="9"/>
      <c r="G122" s="9"/>
      <c r="H122" s="9"/>
      <c r="I122" s="9"/>
      <c r="J122" s="14"/>
    </row>
    <row r="123" spans="6:10" x14ac:dyDescent="0.25">
      <c r="F123" s="9"/>
      <c r="G123" s="9"/>
      <c r="H123" s="9"/>
      <c r="I123" s="9"/>
      <c r="J123" s="14"/>
    </row>
    <row r="124" spans="6:10" x14ac:dyDescent="0.25">
      <c r="F124" s="9"/>
      <c r="G124" s="9"/>
      <c r="H124" s="9"/>
      <c r="I124" s="9"/>
      <c r="J124" s="14"/>
    </row>
    <row r="125" spans="6:10" x14ac:dyDescent="0.25">
      <c r="F125" s="9"/>
      <c r="G125" s="9"/>
      <c r="H125" s="9"/>
      <c r="I125" s="9"/>
      <c r="J125" s="14"/>
    </row>
    <row r="126" spans="6:10" x14ac:dyDescent="0.25">
      <c r="F126" s="9"/>
      <c r="G126" s="9"/>
      <c r="H126" s="9"/>
      <c r="I126" s="9"/>
      <c r="J126" s="14"/>
    </row>
    <row r="127" spans="6:10" x14ac:dyDescent="0.25">
      <c r="F127" s="9"/>
      <c r="G127" s="9"/>
      <c r="H127" s="9"/>
      <c r="I127" s="9"/>
      <c r="J127" s="14"/>
    </row>
    <row r="128" spans="6:10" x14ac:dyDescent="0.25">
      <c r="F128" s="9"/>
      <c r="G128" s="9"/>
      <c r="H128" s="9"/>
      <c r="I128" s="9"/>
      <c r="J128" s="14"/>
    </row>
    <row r="129" spans="6:10" x14ac:dyDescent="0.25">
      <c r="F129" s="9"/>
      <c r="G129" s="9"/>
      <c r="H129" s="9"/>
      <c r="I129" s="9"/>
      <c r="J129" s="14"/>
    </row>
    <row r="130" spans="6:10" x14ac:dyDescent="0.25">
      <c r="F130" s="9"/>
      <c r="G130" s="9"/>
      <c r="H130" s="9"/>
      <c r="I130" s="9"/>
      <c r="J130" s="14"/>
    </row>
    <row r="131" spans="6:10" x14ac:dyDescent="0.25">
      <c r="F131" s="9"/>
      <c r="G131" s="9"/>
      <c r="H131" s="9"/>
      <c r="I131" s="9"/>
      <c r="J131" s="14"/>
    </row>
    <row r="132" spans="6:10" x14ac:dyDescent="0.25">
      <c r="F132" s="9"/>
      <c r="G132" s="9"/>
      <c r="H132" s="9"/>
      <c r="I132" s="9"/>
      <c r="J132" s="14"/>
    </row>
    <row r="133" spans="6:10" x14ac:dyDescent="0.25">
      <c r="F133" s="9"/>
      <c r="G133" s="9"/>
      <c r="H133" s="9"/>
      <c r="I133" s="9"/>
      <c r="J133" s="14"/>
    </row>
    <row r="134" spans="6:10" x14ac:dyDescent="0.25">
      <c r="F134" s="9"/>
      <c r="G134" s="9"/>
      <c r="H134" s="9"/>
      <c r="I134" s="9"/>
      <c r="J134" s="14"/>
    </row>
    <row r="135" spans="6:10" x14ac:dyDescent="0.25">
      <c r="F135" s="9"/>
      <c r="G135" s="9"/>
      <c r="H135" s="9"/>
      <c r="I135" s="9"/>
      <c r="J135" s="14"/>
    </row>
    <row r="136" spans="6:10" x14ac:dyDescent="0.25">
      <c r="F136" s="9"/>
      <c r="G136" s="9"/>
      <c r="H136" s="9"/>
      <c r="I136" s="9"/>
      <c r="J136" s="14"/>
    </row>
    <row r="137" spans="6:10" x14ac:dyDescent="0.25">
      <c r="F137" s="9"/>
      <c r="G137" s="9"/>
      <c r="H137" s="9"/>
      <c r="I137" s="9"/>
      <c r="J137" s="14"/>
    </row>
    <row r="138" spans="6:10" x14ac:dyDescent="0.25">
      <c r="F138" s="9"/>
      <c r="G138" s="9"/>
      <c r="H138" s="9"/>
      <c r="I138" s="9"/>
      <c r="J138" s="14"/>
    </row>
    <row r="139" spans="6:10" x14ac:dyDescent="0.25">
      <c r="F139" s="9"/>
      <c r="G139" s="9"/>
      <c r="H139" s="9"/>
      <c r="I139" s="9"/>
      <c r="J139" s="14"/>
    </row>
    <row r="140" spans="6:10" x14ac:dyDescent="0.25">
      <c r="F140" s="9"/>
      <c r="G140" s="9"/>
      <c r="H140" s="9"/>
      <c r="I140" s="9"/>
      <c r="J140" s="14"/>
    </row>
    <row r="141" spans="6:10" x14ac:dyDescent="0.25">
      <c r="F141" s="9"/>
      <c r="G141" s="9"/>
      <c r="H141" s="9"/>
      <c r="I141" s="9"/>
      <c r="J141" s="14"/>
    </row>
    <row r="142" spans="6:10" x14ac:dyDescent="0.25">
      <c r="F142" s="9"/>
      <c r="G142" s="9"/>
      <c r="H142" s="9"/>
      <c r="I142" s="9"/>
      <c r="J142" s="14"/>
    </row>
    <row r="143" spans="6:10" x14ac:dyDescent="0.25">
      <c r="F143" s="9"/>
      <c r="G143" s="9"/>
      <c r="H143" s="9"/>
      <c r="I143" s="9"/>
      <c r="J143" s="14"/>
    </row>
    <row r="144" spans="6:10" x14ac:dyDescent="0.25">
      <c r="F144" s="9"/>
      <c r="G144" s="9"/>
      <c r="H144" s="9"/>
      <c r="I144" s="9"/>
      <c r="J144" s="14"/>
    </row>
    <row r="145" spans="6:10" x14ac:dyDescent="0.25">
      <c r="F145" s="9"/>
      <c r="G145" s="9"/>
      <c r="H145" s="9"/>
      <c r="I145" s="9"/>
      <c r="J145" s="14"/>
    </row>
    <row r="146" spans="6:10" x14ac:dyDescent="0.25">
      <c r="F146" s="9"/>
      <c r="G146" s="9"/>
      <c r="H146" s="9"/>
      <c r="I146" s="9"/>
      <c r="J146" s="14"/>
    </row>
    <row r="147" spans="6:10" x14ac:dyDescent="0.25">
      <c r="F147" s="9"/>
      <c r="G147" s="9"/>
      <c r="H147" s="9"/>
      <c r="I147" s="9"/>
      <c r="J147" s="14"/>
    </row>
    <row r="148" spans="6:10" x14ac:dyDescent="0.25">
      <c r="F148" s="9"/>
      <c r="G148" s="9"/>
      <c r="H148" s="9"/>
      <c r="I148" s="9"/>
      <c r="J148" s="14"/>
    </row>
    <row r="149" spans="6:10" x14ac:dyDescent="0.25">
      <c r="F149" s="9"/>
      <c r="G149" s="9"/>
      <c r="H149" s="9"/>
      <c r="I149" s="9"/>
      <c r="J149" s="14"/>
    </row>
    <row r="150" spans="6:10" x14ac:dyDescent="0.25">
      <c r="F150" s="9"/>
      <c r="G150" s="9"/>
      <c r="H150" s="9"/>
      <c r="I150" s="9"/>
      <c r="J150" s="14"/>
    </row>
    <row r="151" spans="6:10" x14ac:dyDescent="0.25">
      <c r="F151" s="9"/>
      <c r="G151" s="9"/>
      <c r="H151" s="9"/>
      <c r="I151" s="9"/>
      <c r="J151" s="14"/>
    </row>
    <row r="152" spans="6:10" x14ac:dyDescent="0.25">
      <c r="F152" s="9"/>
      <c r="G152" s="9"/>
      <c r="H152" s="9"/>
      <c r="I152" s="9"/>
      <c r="J152" s="14"/>
    </row>
    <row r="153" spans="6:10" x14ac:dyDescent="0.25">
      <c r="F153" s="9"/>
      <c r="G153" s="9"/>
      <c r="H153" s="9"/>
      <c r="I153" s="9"/>
      <c r="J153" s="14"/>
    </row>
    <row r="154" spans="6:10" x14ac:dyDescent="0.25">
      <c r="F154" s="9"/>
      <c r="G154" s="9"/>
      <c r="H154" s="9"/>
      <c r="I154" s="9"/>
      <c r="J154" s="14"/>
    </row>
    <row r="155" spans="6:10" x14ac:dyDescent="0.25">
      <c r="F155" s="9"/>
      <c r="G155" s="9"/>
      <c r="H155" s="9"/>
      <c r="I155" s="9"/>
      <c r="J155" s="14"/>
    </row>
    <row r="156" spans="6:10" x14ac:dyDescent="0.25">
      <c r="F156" s="9"/>
      <c r="G156" s="9"/>
      <c r="H156" s="9"/>
      <c r="I156" s="9"/>
      <c r="J156" s="14"/>
    </row>
    <row r="157" spans="6:10" x14ac:dyDescent="0.25">
      <c r="F157" s="9"/>
      <c r="G157" s="9"/>
      <c r="H157" s="9"/>
      <c r="I157" s="9"/>
      <c r="J157" s="14"/>
    </row>
    <row r="158" spans="6:10" x14ac:dyDescent="0.25">
      <c r="F158" s="9"/>
      <c r="G158" s="9"/>
      <c r="H158" s="9"/>
      <c r="I158" s="9"/>
      <c r="J158" s="14"/>
    </row>
    <row r="159" spans="6:10" x14ac:dyDescent="0.25">
      <c r="F159" s="9"/>
      <c r="G159" s="9"/>
      <c r="H159" s="9"/>
      <c r="I159" s="9"/>
      <c r="J159" s="14"/>
    </row>
    <row r="160" spans="6:10" x14ac:dyDescent="0.25">
      <c r="F160" s="9"/>
      <c r="G160" s="9"/>
      <c r="H160" s="9"/>
      <c r="I160" s="9"/>
      <c r="J160" s="14"/>
    </row>
    <row r="161" spans="6:10" x14ac:dyDescent="0.25">
      <c r="F161" s="9"/>
      <c r="G161" s="9"/>
      <c r="H161" s="9"/>
      <c r="I161" s="9"/>
      <c r="J161" s="14"/>
    </row>
    <row r="162" spans="6:10" x14ac:dyDescent="0.25">
      <c r="F162" s="9"/>
      <c r="G162" s="9"/>
      <c r="H162" s="9"/>
      <c r="I162" s="9"/>
      <c r="J162" s="14"/>
    </row>
    <row r="163" spans="6:10" x14ac:dyDescent="0.25">
      <c r="F163" s="9"/>
      <c r="G163" s="9"/>
      <c r="H163" s="9"/>
      <c r="I163" s="9"/>
      <c r="J163" s="14"/>
    </row>
    <row r="164" spans="6:10" x14ac:dyDescent="0.25">
      <c r="F164" s="9"/>
      <c r="G164" s="9"/>
      <c r="H164" s="9"/>
      <c r="I164" s="9"/>
      <c r="J164" s="14"/>
    </row>
    <row r="165" spans="6:10" x14ac:dyDescent="0.25">
      <c r="F165" s="9"/>
      <c r="G165" s="9"/>
      <c r="H165" s="9"/>
      <c r="I165" s="9"/>
      <c r="J165" s="14"/>
    </row>
    <row r="166" spans="6:10" x14ac:dyDescent="0.25">
      <c r="F166" s="9"/>
      <c r="G166" s="9"/>
      <c r="H166" s="9"/>
      <c r="I166" s="9"/>
      <c r="J166" s="14"/>
    </row>
    <row r="167" spans="6:10" x14ac:dyDescent="0.25">
      <c r="F167" s="9"/>
      <c r="G167" s="9"/>
      <c r="H167" s="9"/>
      <c r="I167" s="9"/>
      <c r="J167" s="14"/>
    </row>
    <row r="168" spans="6:10" x14ac:dyDescent="0.25">
      <c r="F168" s="9"/>
      <c r="G168" s="9"/>
      <c r="H168" s="9"/>
      <c r="I168" s="9"/>
      <c r="J168" s="14"/>
    </row>
    <row r="169" spans="6:10" x14ac:dyDescent="0.25">
      <c r="F169" s="9"/>
      <c r="G169" s="9"/>
      <c r="H169" s="9"/>
      <c r="I169" s="9"/>
      <c r="J169" s="14"/>
    </row>
    <row r="170" spans="6:10" x14ac:dyDescent="0.25">
      <c r="F170" s="9"/>
      <c r="G170" s="9"/>
      <c r="H170" s="9"/>
      <c r="I170" s="9"/>
      <c r="J170" s="14"/>
    </row>
    <row r="171" spans="6:10" x14ac:dyDescent="0.25">
      <c r="F171" s="9"/>
      <c r="G171" s="9"/>
      <c r="H171" s="9"/>
      <c r="I171" s="9"/>
      <c r="J171" s="14"/>
    </row>
    <row r="172" spans="6:10" x14ac:dyDescent="0.25">
      <c r="F172" s="9"/>
      <c r="G172" s="9"/>
      <c r="H172" s="9"/>
      <c r="I172" s="9"/>
      <c r="J172" s="14"/>
    </row>
    <row r="173" spans="6:10" x14ac:dyDescent="0.25">
      <c r="F173" s="9"/>
      <c r="G173" s="9"/>
      <c r="H173" s="9"/>
      <c r="I173" s="9"/>
      <c r="J173" s="14"/>
    </row>
    <row r="174" spans="6:10" x14ac:dyDescent="0.25">
      <c r="F174" s="9"/>
      <c r="G174" s="9"/>
      <c r="H174" s="9"/>
      <c r="I174" s="9"/>
      <c r="J174" s="14"/>
    </row>
    <row r="175" spans="6:10" x14ac:dyDescent="0.25">
      <c r="F175" s="9"/>
      <c r="G175" s="9"/>
      <c r="H175" s="9"/>
      <c r="I175" s="9"/>
      <c r="J175" s="14"/>
    </row>
    <row r="176" spans="6:10" x14ac:dyDescent="0.25">
      <c r="F176" s="9"/>
      <c r="G176" s="9"/>
      <c r="H176" s="9"/>
      <c r="I176" s="9"/>
      <c r="J176" s="14"/>
    </row>
    <row r="177" spans="6:10" x14ac:dyDescent="0.25">
      <c r="F177" s="9"/>
      <c r="G177" s="9"/>
      <c r="H177" s="9"/>
      <c r="I177" s="9"/>
      <c r="J177" s="14"/>
    </row>
    <row r="178" spans="6:10" x14ac:dyDescent="0.25">
      <c r="F178" s="9"/>
      <c r="G178" s="9"/>
      <c r="H178" s="9"/>
      <c r="I178" s="9"/>
      <c r="J178" s="14"/>
    </row>
    <row r="179" spans="6:10" x14ac:dyDescent="0.25">
      <c r="F179" s="9"/>
      <c r="G179" s="9"/>
      <c r="H179" s="9"/>
      <c r="I179" s="9"/>
      <c r="J179" s="14"/>
    </row>
    <row r="180" spans="6:10" x14ac:dyDescent="0.25">
      <c r="F180" s="9"/>
      <c r="G180" s="9"/>
      <c r="H180" s="9"/>
      <c r="I180" s="9"/>
      <c r="J180" s="14"/>
    </row>
    <row r="181" spans="6:10" x14ac:dyDescent="0.25">
      <c r="F181" s="9"/>
      <c r="G181" s="9"/>
      <c r="H181" s="9"/>
      <c r="I181" s="9"/>
      <c r="J181" s="14"/>
    </row>
    <row r="182" spans="6:10" x14ac:dyDescent="0.25">
      <c r="F182" s="9"/>
      <c r="G182" s="9"/>
      <c r="H182" s="9"/>
      <c r="I182" s="9"/>
      <c r="J182" s="14"/>
    </row>
    <row r="183" spans="6:10" x14ac:dyDescent="0.25">
      <c r="F183" s="9"/>
      <c r="G183" s="9"/>
      <c r="H183" s="9"/>
      <c r="I183" s="9"/>
      <c r="J183" s="14"/>
    </row>
    <row r="184" spans="6:10" x14ac:dyDescent="0.25">
      <c r="F184" s="9"/>
      <c r="G184" s="9"/>
      <c r="H184" s="9"/>
      <c r="I184" s="9"/>
      <c r="J184" s="14"/>
    </row>
    <row r="185" spans="6:10" x14ac:dyDescent="0.25">
      <c r="F185" s="9"/>
      <c r="G185" s="9"/>
      <c r="H185" s="9"/>
      <c r="I185" s="9"/>
      <c r="J185" s="14"/>
    </row>
    <row r="186" spans="6:10" x14ac:dyDescent="0.25">
      <c r="F186" s="9"/>
      <c r="G186" s="9"/>
      <c r="H186" s="9"/>
      <c r="I186" s="9"/>
      <c r="J186" s="14"/>
    </row>
    <row r="187" spans="6:10" x14ac:dyDescent="0.25">
      <c r="F187" s="9"/>
      <c r="G187" s="9"/>
      <c r="H187" s="9"/>
      <c r="I187" s="9"/>
      <c r="J187" s="14"/>
    </row>
    <row r="188" spans="6:10" x14ac:dyDescent="0.25">
      <c r="F188" s="9"/>
      <c r="G188" s="9"/>
      <c r="H188" s="9"/>
      <c r="I188" s="9"/>
      <c r="J188" s="14"/>
    </row>
    <row r="189" spans="6:10" x14ac:dyDescent="0.25">
      <c r="F189" s="9"/>
      <c r="G189" s="9"/>
      <c r="H189" s="9"/>
      <c r="I189" s="9"/>
      <c r="J189" s="14"/>
    </row>
    <row r="190" spans="6:10" x14ac:dyDescent="0.25">
      <c r="F190" s="9"/>
      <c r="G190" s="9"/>
      <c r="H190" s="9"/>
      <c r="I190" s="9"/>
      <c r="J190" s="14"/>
    </row>
    <row r="191" spans="6:10" x14ac:dyDescent="0.25">
      <c r="F191" s="9"/>
      <c r="G191" s="9"/>
      <c r="H191" s="9"/>
      <c r="I191" s="9"/>
      <c r="J191" s="14"/>
    </row>
    <row r="192" spans="6:10" x14ac:dyDescent="0.25">
      <c r="F192" s="9"/>
      <c r="G192" s="9"/>
      <c r="H192" s="9"/>
      <c r="I192" s="9"/>
      <c r="J192" s="14"/>
    </row>
    <row r="193" spans="6:10" x14ac:dyDescent="0.25">
      <c r="F193" s="9"/>
      <c r="G193" s="9"/>
      <c r="H193" s="9"/>
      <c r="I193" s="9"/>
      <c r="J193" s="14"/>
    </row>
    <row r="194" spans="6:10" x14ac:dyDescent="0.25">
      <c r="F194" s="9"/>
      <c r="G194" s="9"/>
      <c r="H194" s="9"/>
      <c r="I194" s="9"/>
      <c r="J194" s="14"/>
    </row>
    <row r="195" spans="6:10" x14ac:dyDescent="0.25">
      <c r="F195" s="9"/>
      <c r="G195" s="9"/>
      <c r="H195" s="9"/>
      <c r="I195" s="9"/>
      <c r="J195" s="14"/>
    </row>
    <row r="196" spans="6:10" x14ac:dyDescent="0.25">
      <c r="F196" s="9"/>
      <c r="G196" s="9"/>
      <c r="H196" s="9"/>
      <c r="I196" s="9"/>
      <c r="J196" s="14"/>
    </row>
    <row r="197" spans="6:10" x14ac:dyDescent="0.25">
      <c r="F197" s="9"/>
      <c r="G197" s="9"/>
      <c r="H197" s="9"/>
      <c r="I197" s="9"/>
      <c r="J197" s="14"/>
    </row>
    <row r="198" spans="6:10" x14ac:dyDescent="0.25">
      <c r="F198" s="9"/>
      <c r="G198" s="9"/>
      <c r="H198" s="9"/>
      <c r="I198" s="9"/>
      <c r="J198" s="14"/>
    </row>
    <row r="199" spans="6:10" x14ac:dyDescent="0.25">
      <c r="F199" s="9"/>
      <c r="G199" s="9"/>
      <c r="H199" s="9"/>
      <c r="I199" s="9"/>
      <c r="J199" s="14"/>
    </row>
    <row r="200" spans="6:10" x14ac:dyDescent="0.25">
      <c r="F200" s="9"/>
      <c r="G200" s="9"/>
      <c r="H200" s="9"/>
      <c r="I200" s="9"/>
      <c r="J200" s="14"/>
    </row>
    <row r="201" spans="6:10" x14ac:dyDescent="0.25">
      <c r="F201" s="9"/>
      <c r="G201" s="9"/>
      <c r="H201" s="9"/>
      <c r="I201" s="9"/>
      <c r="J201" s="14"/>
    </row>
    <row r="202" spans="6:10" x14ac:dyDescent="0.25">
      <c r="F202" s="9"/>
      <c r="G202" s="9"/>
      <c r="H202" s="9"/>
      <c r="I202" s="9"/>
      <c r="J202" s="14"/>
    </row>
    <row r="203" spans="6:10" x14ac:dyDescent="0.25">
      <c r="F203" s="9"/>
      <c r="G203" s="9"/>
      <c r="H203" s="9"/>
      <c r="I203" s="9"/>
      <c r="J203" s="14"/>
    </row>
    <row r="204" spans="6:10" x14ac:dyDescent="0.25">
      <c r="F204" s="9"/>
      <c r="G204" s="9"/>
      <c r="H204" s="9"/>
      <c r="I204" s="9"/>
      <c r="J204" s="14"/>
    </row>
    <row r="205" spans="6:10" x14ac:dyDescent="0.25">
      <c r="F205" s="9"/>
      <c r="G205" s="9"/>
      <c r="H205" s="9"/>
      <c r="I205" s="9"/>
      <c r="J205" s="14"/>
    </row>
    <row r="206" spans="6:10" x14ac:dyDescent="0.25">
      <c r="F206" s="9"/>
      <c r="G206" s="9"/>
      <c r="H206" s="9"/>
      <c r="I206" s="9"/>
      <c r="J206" s="14"/>
    </row>
    <row r="207" spans="6:10" x14ac:dyDescent="0.25">
      <c r="F207" s="9"/>
      <c r="G207" s="9"/>
      <c r="H207" s="9"/>
      <c r="I207" s="9"/>
      <c r="J207" s="14"/>
    </row>
    <row r="208" spans="6:10" x14ac:dyDescent="0.25">
      <c r="F208" s="9"/>
      <c r="G208" s="9"/>
      <c r="H208" s="9"/>
      <c r="I208" s="9"/>
      <c r="J208" s="14"/>
    </row>
    <row r="209" spans="6:10" x14ac:dyDescent="0.25">
      <c r="F209" s="9"/>
      <c r="G209" s="9"/>
      <c r="H209" s="9"/>
      <c r="I209" s="9"/>
      <c r="J209" s="14"/>
    </row>
    <row r="210" spans="6:10" x14ac:dyDescent="0.25">
      <c r="F210" s="9"/>
      <c r="G210" s="9"/>
      <c r="H210" s="9"/>
      <c r="I210" s="9"/>
      <c r="J210" s="14"/>
    </row>
    <row r="211" spans="6:10" x14ac:dyDescent="0.25">
      <c r="F211" s="9"/>
      <c r="G211" s="9"/>
      <c r="H211" s="9"/>
      <c r="I211" s="9"/>
      <c r="J211" s="14"/>
    </row>
    <row r="212" spans="6:10" x14ac:dyDescent="0.25">
      <c r="F212" s="9"/>
      <c r="G212" s="9"/>
      <c r="H212" s="9"/>
      <c r="I212" s="9"/>
      <c r="J212" s="14"/>
    </row>
    <row r="213" spans="6:10" x14ac:dyDescent="0.25">
      <c r="F213" s="9"/>
      <c r="G213" s="9"/>
      <c r="H213" s="9"/>
      <c r="I213" s="9"/>
      <c r="J213" s="14"/>
    </row>
    <row r="214" spans="6:10" x14ac:dyDescent="0.25">
      <c r="F214" s="9"/>
      <c r="G214" s="9"/>
      <c r="H214" s="9"/>
      <c r="I214" s="9"/>
      <c r="J214" s="14"/>
    </row>
    <row r="215" spans="6:10" x14ac:dyDescent="0.25">
      <c r="F215" s="9"/>
      <c r="G215" s="9"/>
      <c r="H215" s="9"/>
      <c r="I215" s="9"/>
      <c r="J215" s="14"/>
    </row>
    <row r="216" spans="6:10" x14ac:dyDescent="0.25">
      <c r="F216" s="9"/>
      <c r="G216" s="9"/>
      <c r="H216" s="9"/>
      <c r="I216" s="9"/>
      <c r="J216" s="14"/>
    </row>
    <row r="217" spans="6:10" x14ac:dyDescent="0.25">
      <c r="F217" s="9"/>
      <c r="G217" s="9"/>
      <c r="H217" s="9"/>
      <c r="I217" s="9"/>
      <c r="J217" s="14"/>
    </row>
    <row r="218" spans="6:10" x14ac:dyDescent="0.25">
      <c r="F218" s="9"/>
      <c r="G218" s="9"/>
      <c r="H218" s="9"/>
      <c r="I218" s="9"/>
      <c r="J218" s="14"/>
    </row>
    <row r="219" spans="6:10" x14ac:dyDescent="0.25">
      <c r="F219" s="9"/>
      <c r="G219" s="9"/>
      <c r="H219" s="9"/>
      <c r="I219" s="9"/>
      <c r="J219" s="14"/>
    </row>
    <row r="220" spans="6:10" x14ac:dyDescent="0.25">
      <c r="F220" s="9"/>
      <c r="G220" s="9"/>
      <c r="H220" s="9"/>
      <c r="I220" s="9"/>
      <c r="J220" s="14"/>
    </row>
    <row r="221" spans="6:10" x14ac:dyDescent="0.25">
      <c r="F221" s="9"/>
      <c r="G221" s="9"/>
      <c r="H221" s="9"/>
      <c r="I221" s="9"/>
      <c r="J221" s="14"/>
    </row>
    <row r="222" spans="6:10" x14ac:dyDescent="0.25">
      <c r="F222" s="9"/>
      <c r="G222" s="9"/>
      <c r="H222" s="9"/>
      <c r="I222" s="9"/>
      <c r="J222" s="14"/>
    </row>
    <row r="223" spans="6:10" x14ac:dyDescent="0.25">
      <c r="F223" s="9"/>
      <c r="G223" s="9"/>
      <c r="H223" s="9"/>
      <c r="I223" s="9"/>
      <c r="J223" s="14"/>
    </row>
    <row r="224" spans="6:10" x14ac:dyDescent="0.25">
      <c r="F224" s="9"/>
      <c r="G224" s="9"/>
      <c r="H224" s="9"/>
      <c r="I224" s="9"/>
      <c r="J224" s="14"/>
    </row>
    <row r="225" spans="6:10" x14ac:dyDescent="0.25">
      <c r="F225" s="9"/>
      <c r="G225" s="9"/>
      <c r="H225" s="9"/>
      <c r="I225" s="9"/>
      <c r="J225" s="14"/>
    </row>
    <row r="226" spans="6:10" x14ac:dyDescent="0.25">
      <c r="F226" s="9"/>
      <c r="G226" s="9"/>
      <c r="H226" s="9"/>
      <c r="I226" s="9"/>
      <c r="J226" s="14"/>
    </row>
    <row r="227" spans="6:10" x14ac:dyDescent="0.25">
      <c r="F227" s="9"/>
      <c r="G227" s="9"/>
      <c r="H227" s="9"/>
      <c r="I227" s="9"/>
      <c r="J227" s="14"/>
    </row>
    <row r="228" spans="6:10" x14ac:dyDescent="0.25">
      <c r="F228" s="9"/>
      <c r="G228" s="9"/>
      <c r="H228" s="9"/>
      <c r="I228" s="9"/>
      <c r="J228" s="14"/>
    </row>
    <row r="229" spans="6:10" x14ac:dyDescent="0.25">
      <c r="F229" s="9"/>
      <c r="G229" s="9"/>
      <c r="H229" s="9"/>
      <c r="I229" s="9"/>
      <c r="J229" s="14"/>
    </row>
    <row r="230" spans="6:10" x14ac:dyDescent="0.25">
      <c r="F230" s="9"/>
      <c r="G230" s="9"/>
      <c r="H230" s="9"/>
      <c r="I230" s="9"/>
      <c r="J230" s="14"/>
    </row>
    <row r="231" spans="6:10" x14ac:dyDescent="0.25">
      <c r="F231" s="9"/>
      <c r="G231" s="9"/>
      <c r="H231" s="9"/>
      <c r="I231" s="9"/>
      <c r="J231" s="14"/>
    </row>
    <row r="232" spans="6:10" x14ac:dyDescent="0.25">
      <c r="F232" s="9"/>
      <c r="G232" s="9"/>
      <c r="H232" s="9"/>
      <c r="I232" s="9"/>
      <c r="J232" s="14"/>
    </row>
  </sheetData>
  <mergeCells count="7">
    <mergeCell ref="A1:R3"/>
    <mergeCell ref="A4:R4"/>
    <mergeCell ref="A7:D7"/>
    <mergeCell ref="B8:D8"/>
    <mergeCell ref="B9:D9"/>
    <mergeCell ref="B10:D10"/>
    <mergeCell ref="B11:D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C5403-BAB1-47C8-9FED-B566B1B86E24}">
  <dimension ref="A1:R19"/>
  <sheetViews>
    <sheetView tabSelected="1" topLeftCell="A13" workbookViewId="0">
      <selection activeCell="J31" sqref="J31"/>
    </sheetView>
  </sheetViews>
  <sheetFormatPr baseColWidth="10" defaultRowHeight="15" x14ac:dyDescent="0.25"/>
  <cols>
    <col min="10" max="10" width="16.5703125" customWidth="1"/>
    <col min="11" max="11" width="23.5703125" customWidth="1"/>
    <col min="12" max="12" width="14.7109375" customWidth="1"/>
  </cols>
  <sheetData>
    <row r="1" spans="1:18" x14ac:dyDescent="0.25">
      <c r="A1" s="21" t="s">
        <v>34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</row>
    <row r="2" spans="1:18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</row>
    <row r="3" spans="1:18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1:18" ht="18.75" x14ac:dyDescent="0.25">
      <c r="A4" s="22" t="s">
        <v>19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7" spans="1:18" x14ac:dyDescent="0.25">
      <c r="G7" s="46" t="s">
        <v>35</v>
      </c>
      <c r="H7" s="46" t="s">
        <v>37</v>
      </c>
      <c r="I7" s="46" t="s">
        <v>38</v>
      </c>
      <c r="J7" s="46" t="s">
        <v>39</v>
      </c>
      <c r="K7" s="46" t="s">
        <v>40</v>
      </c>
      <c r="L7" s="46" t="s">
        <v>23</v>
      </c>
      <c r="M7" s="12"/>
    </row>
    <row r="8" spans="1:18" x14ac:dyDescent="0.25">
      <c r="G8" s="47">
        <v>4</v>
      </c>
      <c r="H8" s="42">
        <f>G8+$C$13</f>
        <v>5</v>
      </c>
      <c r="I8" s="42">
        <f>6*G8^2+5*G8-6</f>
        <v>110</v>
      </c>
      <c r="J8" s="42">
        <f>6*H8^2+5*H8-6</f>
        <v>169</v>
      </c>
      <c r="K8" s="42">
        <f>(J8-I8)/$C$13</f>
        <v>59</v>
      </c>
      <c r="L8" s="42">
        <f>ABS($C$14-K8)</f>
        <v>46</v>
      </c>
      <c r="M8" s="12"/>
      <c r="N8" s="12"/>
      <c r="O8" s="12"/>
    </row>
    <row r="9" spans="1:18" x14ac:dyDescent="0.25">
      <c r="G9" s="47">
        <v>5</v>
      </c>
      <c r="H9" s="42">
        <f t="shared" ref="H9:H17" si="0">G9+$C$13</f>
        <v>6</v>
      </c>
      <c r="I9" s="42">
        <f t="shared" ref="I9:I17" si="1">6*G9^2+5*G9-6</f>
        <v>169</v>
      </c>
      <c r="J9" s="42">
        <f t="shared" ref="J9:J17" si="2">6*H9^2+5*H9-6</f>
        <v>240</v>
      </c>
      <c r="K9" s="42">
        <f t="shared" ref="K9:K17" si="3">(J9-I9)/$C$13</f>
        <v>71</v>
      </c>
      <c r="L9" s="42">
        <f t="shared" ref="L9:L17" si="4">ABS($C$14-K9)</f>
        <v>58</v>
      </c>
      <c r="M9" s="12"/>
      <c r="O9" s="12"/>
    </row>
    <row r="10" spans="1:18" x14ac:dyDescent="0.25">
      <c r="G10" s="47">
        <v>6</v>
      </c>
      <c r="H10" s="42">
        <f t="shared" si="0"/>
        <v>7</v>
      </c>
      <c r="I10" s="42">
        <f t="shared" si="1"/>
        <v>240</v>
      </c>
      <c r="J10" s="42">
        <f t="shared" si="2"/>
        <v>323</v>
      </c>
      <c r="K10" s="42">
        <f t="shared" si="3"/>
        <v>83</v>
      </c>
      <c r="L10" s="42">
        <f t="shared" si="4"/>
        <v>70</v>
      </c>
      <c r="M10" s="12"/>
      <c r="O10" s="12"/>
    </row>
    <row r="11" spans="1:18" x14ac:dyDescent="0.25">
      <c r="G11" s="47">
        <v>7</v>
      </c>
      <c r="H11" s="42">
        <f t="shared" si="0"/>
        <v>8</v>
      </c>
      <c r="I11" s="42">
        <f t="shared" si="1"/>
        <v>323</v>
      </c>
      <c r="J11" s="42">
        <f t="shared" si="2"/>
        <v>418</v>
      </c>
      <c r="K11" s="42">
        <f t="shared" si="3"/>
        <v>95</v>
      </c>
      <c r="L11" s="42">
        <f t="shared" si="4"/>
        <v>82</v>
      </c>
      <c r="M11" s="12"/>
      <c r="N11" s="12"/>
      <c r="O11" s="12"/>
    </row>
    <row r="12" spans="1:18" x14ac:dyDescent="0.25">
      <c r="G12" s="47">
        <v>8</v>
      </c>
      <c r="H12" s="42">
        <f t="shared" si="0"/>
        <v>9</v>
      </c>
      <c r="I12" s="42">
        <f t="shared" si="1"/>
        <v>418</v>
      </c>
      <c r="J12" s="42">
        <f t="shared" si="2"/>
        <v>525</v>
      </c>
      <c r="K12" s="42">
        <f t="shared" si="3"/>
        <v>107</v>
      </c>
      <c r="L12" s="42">
        <f t="shared" si="4"/>
        <v>94</v>
      </c>
      <c r="M12" s="12"/>
      <c r="N12" s="12"/>
      <c r="O12" s="12"/>
    </row>
    <row r="13" spans="1:18" x14ac:dyDescent="0.25">
      <c r="B13" s="45" t="s">
        <v>36</v>
      </c>
      <c r="C13" s="14">
        <v>1</v>
      </c>
      <c r="G13" s="47">
        <v>9</v>
      </c>
      <c r="H13" s="42">
        <f t="shared" si="0"/>
        <v>10</v>
      </c>
      <c r="I13" s="42">
        <f t="shared" si="1"/>
        <v>525</v>
      </c>
      <c r="J13" s="42">
        <f t="shared" si="2"/>
        <v>644</v>
      </c>
      <c r="K13" s="42">
        <f t="shared" si="3"/>
        <v>119</v>
      </c>
      <c r="L13" s="42">
        <f t="shared" si="4"/>
        <v>106</v>
      </c>
      <c r="M13" s="12"/>
      <c r="N13" s="12"/>
      <c r="O13" s="12"/>
    </row>
    <row r="14" spans="1:18" x14ac:dyDescent="0.25">
      <c r="C14" s="18">
        <v>13</v>
      </c>
      <c r="G14" s="47">
        <v>10</v>
      </c>
      <c r="H14" s="42">
        <f t="shared" si="0"/>
        <v>11</v>
      </c>
      <c r="I14" s="42">
        <f t="shared" si="1"/>
        <v>644</v>
      </c>
      <c r="J14" s="42">
        <f t="shared" si="2"/>
        <v>775</v>
      </c>
      <c r="K14" s="42">
        <f t="shared" si="3"/>
        <v>131</v>
      </c>
      <c r="L14" s="42">
        <f t="shared" si="4"/>
        <v>118</v>
      </c>
      <c r="M14" s="12"/>
      <c r="N14" s="12"/>
      <c r="O14" s="12"/>
    </row>
    <row r="15" spans="1:18" x14ac:dyDescent="0.25">
      <c r="G15" s="47">
        <v>11</v>
      </c>
      <c r="H15" s="42">
        <f t="shared" si="0"/>
        <v>12</v>
      </c>
      <c r="I15" s="42">
        <f t="shared" si="1"/>
        <v>775</v>
      </c>
      <c r="J15" s="42">
        <f t="shared" si="2"/>
        <v>918</v>
      </c>
      <c r="K15" s="42">
        <f t="shared" si="3"/>
        <v>143</v>
      </c>
      <c r="L15" s="42">
        <f t="shared" si="4"/>
        <v>130</v>
      </c>
    </row>
    <row r="16" spans="1:18" x14ac:dyDescent="0.25">
      <c r="G16" s="47">
        <v>12</v>
      </c>
      <c r="H16" s="42">
        <f t="shared" si="0"/>
        <v>13</v>
      </c>
      <c r="I16" s="42">
        <f t="shared" si="1"/>
        <v>918</v>
      </c>
      <c r="J16" s="42">
        <f t="shared" si="2"/>
        <v>1073</v>
      </c>
      <c r="K16" s="42">
        <f t="shared" si="3"/>
        <v>155</v>
      </c>
      <c r="L16" s="42">
        <f t="shared" si="4"/>
        <v>142</v>
      </c>
    </row>
    <row r="17" spans="7:12" x14ac:dyDescent="0.25">
      <c r="G17" s="47">
        <v>13</v>
      </c>
      <c r="H17" s="42">
        <f t="shared" si="0"/>
        <v>14</v>
      </c>
      <c r="I17" s="42">
        <f t="shared" si="1"/>
        <v>1073</v>
      </c>
      <c r="J17" s="42">
        <f t="shared" si="2"/>
        <v>1240</v>
      </c>
      <c r="K17" s="42">
        <f t="shared" si="3"/>
        <v>167</v>
      </c>
      <c r="L17" s="42">
        <f t="shared" si="4"/>
        <v>154</v>
      </c>
    </row>
    <row r="18" spans="7:12" x14ac:dyDescent="0.25">
      <c r="G18" s="47"/>
      <c r="H18" s="42"/>
      <c r="I18" s="42"/>
      <c r="J18" s="42"/>
      <c r="K18" s="42"/>
      <c r="L18" s="42"/>
    </row>
    <row r="19" spans="7:12" x14ac:dyDescent="0.25">
      <c r="G19" s="47"/>
      <c r="H19" s="42"/>
      <c r="I19" s="42"/>
      <c r="J19" s="42"/>
      <c r="K19" s="42"/>
      <c r="L19" s="42"/>
    </row>
  </sheetData>
  <mergeCells count="2">
    <mergeCell ref="A1:R3"/>
    <mergeCell ref="A4:R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3204A-03CF-443D-873E-C284C6829469}">
  <dimension ref="A1:R22"/>
  <sheetViews>
    <sheetView topLeftCell="A4" workbookViewId="0">
      <selection activeCell="H18" sqref="H18"/>
    </sheetView>
  </sheetViews>
  <sheetFormatPr baseColWidth="10" defaultRowHeight="15" x14ac:dyDescent="0.25"/>
  <sheetData>
    <row r="1" spans="1:18" x14ac:dyDescent="0.25">
      <c r="A1" s="21" t="s">
        <v>26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</row>
    <row r="2" spans="1:18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</row>
    <row r="3" spans="1:18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1:18" ht="18.75" x14ac:dyDescent="0.25">
      <c r="A4" s="22" t="s">
        <v>19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6" spans="1:18" x14ac:dyDescent="0.25">
      <c r="B6" s="38"/>
      <c r="C6" s="39" t="s">
        <v>5</v>
      </c>
      <c r="D6" s="39" t="s">
        <v>6</v>
      </c>
      <c r="E6" s="41" t="s">
        <v>32</v>
      </c>
      <c r="F6" s="41"/>
      <c r="G6" s="42">
        <v>5</v>
      </c>
    </row>
    <row r="7" spans="1:18" x14ac:dyDescent="0.25">
      <c r="B7" s="14">
        <v>0</v>
      </c>
      <c r="C7" s="40">
        <f>G6</f>
        <v>5</v>
      </c>
      <c r="D7" s="40">
        <f>3*C7-9</f>
        <v>6</v>
      </c>
      <c r="E7" s="41" t="s">
        <v>31</v>
      </c>
      <c r="F7" s="41"/>
      <c r="G7" s="42">
        <v>14</v>
      </c>
    </row>
    <row r="8" spans="1:18" x14ac:dyDescent="0.25">
      <c r="B8" s="14">
        <v>1</v>
      </c>
      <c r="C8" s="40">
        <f>C7+$G$10</f>
        <v>5.9</v>
      </c>
      <c r="D8" s="40">
        <f t="shared" ref="D8:D21" si="0">3*C8-9</f>
        <v>8.7000000000000028</v>
      </c>
      <c r="E8" s="41" t="s">
        <v>30</v>
      </c>
      <c r="F8" s="41"/>
      <c r="G8" s="42">
        <v>10</v>
      </c>
      <c r="H8" s="18"/>
      <c r="I8" s="12"/>
      <c r="J8" s="12"/>
    </row>
    <row r="9" spans="1:18" x14ac:dyDescent="0.25">
      <c r="B9" s="14">
        <v>2</v>
      </c>
      <c r="C9" s="40">
        <f t="shared" ref="C9:C17" si="1">C8+$G$10</f>
        <v>6.8000000000000007</v>
      </c>
      <c r="D9" s="40">
        <f t="shared" si="0"/>
        <v>11.400000000000002</v>
      </c>
      <c r="E9" s="9"/>
      <c r="F9" s="20"/>
      <c r="G9" s="19"/>
      <c r="H9" s="14"/>
      <c r="I9" s="12"/>
      <c r="J9" s="12"/>
    </row>
    <row r="10" spans="1:18" x14ac:dyDescent="0.25">
      <c r="B10" s="14">
        <v>3</v>
      </c>
      <c r="C10" s="40">
        <f t="shared" si="1"/>
        <v>7.7000000000000011</v>
      </c>
      <c r="D10" s="40">
        <f t="shared" si="0"/>
        <v>14.100000000000001</v>
      </c>
      <c r="E10" s="41" t="s">
        <v>33</v>
      </c>
      <c r="F10" s="41"/>
      <c r="G10" s="42">
        <f>(G7-G6)/G8</f>
        <v>0.9</v>
      </c>
      <c r="H10" s="14"/>
      <c r="I10" s="12"/>
      <c r="J10" s="12"/>
    </row>
    <row r="11" spans="1:18" x14ac:dyDescent="0.25">
      <c r="B11" s="14">
        <v>4</v>
      </c>
      <c r="C11" s="40">
        <f t="shared" si="1"/>
        <v>8.6000000000000014</v>
      </c>
      <c r="D11" s="40">
        <f t="shared" si="0"/>
        <v>16.800000000000004</v>
      </c>
      <c r="E11" s="9"/>
      <c r="F11" s="20"/>
      <c r="G11" s="19"/>
      <c r="H11" s="14"/>
      <c r="I11" s="9"/>
      <c r="J11" s="12"/>
    </row>
    <row r="12" spans="1:18" x14ac:dyDescent="0.25">
      <c r="B12" s="14">
        <v>5</v>
      </c>
      <c r="C12" s="40">
        <f t="shared" si="1"/>
        <v>9.5000000000000018</v>
      </c>
      <c r="D12" s="40">
        <f t="shared" si="0"/>
        <v>19.500000000000007</v>
      </c>
      <c r="E12" s="41" t="s">
        <v>27</v>
      </c>
      <c r="F12" s="41"/>
      <c r="G12" s="43">
        <f>$G$10*($D$7/2+SUM(D8:D16)+D17/2)</f>
        <v>175.50000000000006</v>
      </c>
      <c r="H12" s="43"/>
      <c r="I12" s="43"/>
      <c r="J12" s="12"/>
    </row>
    <row r="13" spans="1:18" x14ac:dyDescent="0.25">
      <c r="B13" s="14">
        <v>6</v>
      </c>
      <c r="C13" s="40">
        <f t="shared" si="1"/>
        <v>10.400000000000002</v>
      </c>
      <c r="D13" s="40">
        <f t="shared" si="0"/>
        <v>22.200000000000006</v>
      </c>
      <c r="E13" s="9"/>
      <c r="F13" s="19"/>
      <c r="G13" s="19"/>
      <c r="H13" s="14"/>
      <c r="I13" s="9"/>
      <c r="J13" s="12"/>
    </row>
    <row r="14" spans="1:18" x14ac:dyDescent="0.25">
      <c r="B14" s="14">
        <v>7</v>
      </c>
      <c r="C14" s="40">
        <f t="shared" si="1"/>
        <v>11.300000000000002</v>
      </c>
      <c r="D14" s="40">
        <f t="shared" si="0"/>
        <v>24.900000000000006</v>
      </c>
      <c r="E14" s="9"/>
      <c r="F14" s="9"/>
      <c r="G14" s="14"/>
      <c r="H14" s="14"/>
      <c r="I14" s="9"/>
      <c r="J14" s="12"/>
    </row>
    <row r="15" spans="1:18" x14ac:dyDescent="0.25">
      <c r="B15" s="14">
        <v>8</v>
      </c>
      <c r="C15" s="40">
        <f t="shared" si="1"/>
        <v>12.200000000000003</v>
      </c>
      <c r="D15" s="40">
        <f t="shared" si="0"/>
        <v>27.600000000000009</v>
      </c>
      <c r="E15" s="9"/>
      <c r="F15" s="9"/>
      <c r="G15" s="14"/>
      <c r="H15" s="14"/>
      <c r="I15" s="9"/>
      <c r="J15" s="12"/>
    </row>
    <row r="16" spans="1:18" x14ac:dyDescent="0.25">
      <c r="B16" s="14">
        <v>9</v>
      </c>
      <c r="C16" s="40">
        <f t="shared" si="1"/>
        <v>13.100000000000003</v>
      </c>
      <c r="D16" s="40">
        <f t="shared" si="0"/>
        <v>30.300000000000011</v>
      </c>
      <c r="E16" s="9"/>
      <c r="F16" s="9"/>
      <c r="G16" s="14"/>
      <c r="H16" s="14"/>
      <c r="I16" s="9"/>
      <c r="J16" s="12"/>
    </row>
    <row r="17" spans="2:10" x14ac:dyDescent="0.25">
      <c r="B17" s="14">
        <v>10</v>
      </c>
      <c r="C17" s="40">
        <f t="shared" si="1"/>
        <v>14.000000000000004</v>
      </c>
      <c r="D17" s="40">
        <f t="shared" si="0"/>
        <v>33.000000000000014</v>
      </c>
      <c r="E17" s="9"/>
      <c r="F17" s="9"/>
      <c r="G17" s="14"/>
      <c r="H17" s="14"/>
      <c r="I17" s="9"/>
      <c r="J17" s="12"/>
    </row>
    <row r="18" spans="2:10" x14ac:dyDescent="0.25">
      <c r="B18" s="14"/>
      <c r="C18" s="14"/>
      <c r="D18" s="14"/>
      <c r="E18" s="14"/>
      <c r="F18" s="9"/>
      <c r="G18" s="9"/>
      <c r="H18" s="14"/>
      <c r="I18" s="9"/>
      <c r="J18" s="12"/>
    </row>
    <row r="19" spans="2:10" x14ac:dyDescent="0.25">
      <c r="B19" s="14"/>
      <c r="C19" s="14"/>
      <c r="D19" s="14"/>
      <c r="E19" s="14"/>
      <c r="F19" s="9"/>
      <c r="G19" s="9"/>
      <c r="H19" s="14"/>
      <c r="I19" s="9"/>
      <c r="J19" s="12"/>
    </row>
    <row r="20" spans="2:10" x14ac:dyDescent="0.25">
      <c r="B20" s="14"/>
      <c r="C20" s="14"/>
      <c r="D20" s="14"/>
      <c r="E20" s="14"/>
      <c r="F20" s="9"/>
      <c r="G20" s="9"/>
      <c r="H20" s="14"/>
      <c r="I20" s="9"/>
      <c r="J20" s="12"/>
    </row>
    <row r="21" spans="2:10" x14ac:dyDescent="0.25">
      <c r="B21" s="14"/>
      <c r="C21" s="14"/>
      <c r="D21" s="14"/>
      <c r="E21" s="14"/>
      <c r="F21" s="9"/>
      <c r="G21" s="9"/>
      <c r="H21" s="14"/>
      <c r="I21" s="9"/>
      <c r="J21" s="12"/>
    </row>
    <row r="22" spans="2:10" x14ac:dyDescent="0.25">
      <c r="B22" s="44"/>
      <c r="C22" s="9"/>
      <c r="D22" s="9"/>
      <c r="E22" s="12"/>
      <c r="F22" s="12"/>
      <c r="G22" s="12"/>
      <c r="H22" s="12"/>
      <c r="I22" s="12"/>
      <c r="J22" s="12"/>
    </row>
  </sheetData>
  <mergeCells count="8">
    <mergeCell ref="A1:R3"/>
    <mergeCell ref="A4:R4"/>
    <mergeCell ref="E12:F12"/>
    <mergeCell ref="E10:F10"/>
    <mergeCell ref="E8:F8"/>
    <mergeCell ref="E7:F7"/>
    <mergeCell ref="E6:F6"/>
    <mergeCell ref="G12:I1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02BE8-35E0-4D0D-8A90-630B2938901A}">
  <dimension ref="A1:R540"/>
  <sheetViews>
    <sheetView topLeftCell="B10" zoomScale="85" zoomScaleNormal="85" workbookViewId="0">
      <selection activeCell="K33" sqref="K33"/>
    </sheetView>
  </sheetViews>
  <sheetFormatPr baseColWidth="10" defaultRowHeight="15" x14ac:dyDescent="0.25"/>
  <cols>
    <col min="1" max="1" width="8.140625" customWidth="1"/>
    <col min="2" max="2" width="6.28515625" customWidth="1"/>
    <col min="5" max="5" width="16" customWidth="1"/>
    <col min="7" max="7" width="11.42578125" customWidth="1"/>
    <col min="9" max="9" width="14.28515625" customWidth="1"/>
    <col min="10" max="10" width="15" customWidth="1"/>
    <col min="11" max="11" width="18.28515625" customWidth="1"/>
    <col min="12" max="12" width="14.28515625" customWidth="1"/>
    <col min="13" max="13" width="14.5703125" customWidth="1"/>
    <col min="14" max="14" width="15.7109375" customWidth="1"/>
    <col min="15" max="15" width="14" customWidth="1"/>
    <col min="16" max="16" width="12.7109375" customWidth="1"/>
    <col min="17" max="17" width="13" customWidth="1"/>
    <col min="18" max="18" width="12.7109375" customWidth="1"/>
  </cols>
  <sheetData>
    <row r="1" spans="1:18" ht="15" customHeight="1" x14ac:dyDescent="0.25">
      <c r="A1" s="21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</row>
    <row r="2" spans="1:18" ht="1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</row>
    <row r="3" spans="1:18" ht="15" customHeight="1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1:18" ht="15" customHeight="1" x14ac:dyDescent="0.25">
      <c r="A4" s="22" t="s">
        <v>19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6" spans="1:18" x14ac:dyDescent="0.25">
      <c r="G6" s="1"/>
      <c r="H6" s="1"/>
      <c r="I6" s="1" t="s">
        <v>18</v>
      </c>
      <c r="J6" s="5" t="s">
        <v>5</v>
      </c>
      <c r="K6" s="5" t="s">
        <v>6</v>
      </c>
      <c r="L6" s="1"/>
      <c r="M6" s="5" t="s">
        <v>5</v>
      </c>
      <c r="N6" s="5" t="s">
        <v>6</v>
      </c>
      <c r="P6" s="5" t="s">
        <v>5</v>
      </c>
      <c r="Q6" s="5" t="s">
        <v>6</v>
      </c>
    </row>
    <row r="7" spans="1:18" x14ac:dyDescent="0.25">
      <c r="B7" s="29" t="s">
        <v>4</v>
      </c>
      <c r="C7" s="30"/>
      <c r="D7" s="30"/>
      <c r="E7" s="31"/>
      <c r="F7" s="2"/>
      <c r="G7" s="3" t="s">
        <v>5</v>
      </c>
      <c r="H7" s="3" t="s">
        <v>6</v>
      </c>
      <c r="I7" s="3" t="s">
        <v>7</v>
      </c>
      <c r="J7" s="4" t="s">
        <v>11</v>
      </c>
      <c r="K7" s="4" t="s">
        <v>12</v>
      </c>
      <c r="L7" s="3" t="s">
        <v>8</v>
      </c>
      <c r="M7" s="4" t="s">
        <v>13</v>
      </c>
      <c r="N7" s="4" t="s">
        <v>14</v>
      </c>
      <c r="O7" s="3" t="s">
        <v>9</v>
      </c>
      <c r="P7" s="4" t="s">
        <v>15</v>
      </c>
      <c r="Q7" s="4" t="s">
        <v>16</v>
      </c>
      <c r="R7" s="3" t="s">
        <v>10</v>
      </c>
    </row>
    <row r="8" spans="1:18" ht="15.75" x14ac:dyDescent="0.25">
      <c r="B8" s="6" t="s">
        <v>1</v>
      </c>
      <c r="C8" s="26">
        <v>0</v>
      </c>
      <c r="D8" s="27"/>
      <c r="E8" s="28"/>
      <c r="G8" s="1">
        <f>C8</f>
        <v>0</v>
      </c>
      <c r="H8" s="1">
        <f>C9</f>
        <v>3</v>
      </c>
      <c r="I8" s="1">
        <f>(-1*G8^2*H8)*h</f>
        <v>0</v>
      </c>
      <c r="J8" s="8">
        <f t="shared" ref="J8" si="0">(G8+h/2)</f>
        <v>0.05</v>
      </c>
      <c r="K8" s="7">
        <f t="shared" ref="K8" si="1">H8+I8*h/2</f>
        <v>3</v>
      </c>
      <c r="L8" s="1">
        <f>(-1*J8^2*K8)*h</f>
        <v>-7.5000000000000023E-4</v>
      </c>
      <c r="M8">
        <f t="shared" ref="M8" si="2">G8+h/2</f>
        <v>0.05</v>
      </c>
      <c r="N8">
        <f t="shared" ref="N8" si="3">H8+L8*h/2</f>
        <v>2.9999625000000001</v>
      </c>
      <c r="O8" s="1">
        <f>(-1*M8^2*N8)*h</f>
        <v>-7.4999062500000018E-4</v>
      </c>
      <c r="P8">
        <f t="shared" ref="P8" si="4">G8+h</f>
        <v>0.1</v>
      </c>
      <c r="Q8">
        <f t="shared" ref="Q8" si="5">H8+O8*h</f>
        <v>2.9999250009375</v>
      </c>
      <c r="R8" s="1">
        <f>(-1*P8^2*Q8)*h</f>
        <v>-2.9999250009375006E-3</v>
      </c>
    </row>
    <row r="9" spans="1:18" ht="15.75" x14ac:dyDescent="0.25">
      <c r="B9" s="6" t="s">
        <v>2</v>
      </c>
      <c r="C9" s="24">
        <v>3</v>
      </c>
      <c r="D9" s="24"/>
      <c r="E9" s="25"/>
      <c r="G9" s="1">
        <f t="shared" ref="G9:G72" si="6">SUM(G8,h)</f>
        <v>0.1</v>
      </c>
      <c r="H9" s="1">
        <f>H8+((I8+2*L8+2*O8+R8)*(1/6))</f>
        <v>2.9990000156248438</v>
      </c>
      <c r="I9" s="1">
        <f>(-1*G9^2*H9)*h</f>
        <v>-2.9990000156248447E-3</v>
      </c>
      <c r="J9" s="8">
        <f t="shared" ref="J9" si="7">(G9+h/2)</f>
        <v>0.15000000000000002</v>
      </c>
      <c r="K9" s="7">
        <f t="shared" ref="K9" si="8">H9+I9*h/2</f>
        <v>2.9988500656240626</v>
      </c>
      <c r="L9" s="1">
        <f>(-1*J9^2*K9)*h</f>
        <v>-6.7474126476541434E-3</v>
      </c>
      <c r="M9">
        <f t="shared" ref="M9" si="9">G9+h/2</f>
        <v>0.15000000000000002</v>
      </c>
      <c r="N9">
        <f t="shared" ref="N9" si="10">H9+L9*h/2</f>
        <v>2.9986626449924612</v>
      </c>
      <c r="O9" s="1">
        <f>(-1*M9^2*N9)*h</f>
        <v>-6.7469909512330398E-3</v>
      </c>
      <c r="P9">
        <f t="shared" ref="P9" si="11">G9+h</f>
        <v>0.2</v>
      </c>
      <c r="Q9">
        <f t="shared" ref="Q9" si="12">H9+O9*h</f>
        <v>2.9983253165297206</v>
      </c>
      <c r="R9" s="1">
        <f>(-1*P9^2*Q9)*h</f>
        <v>-1.1993301266118885E-2</v>
      </c>
    </row>
    <row r="10" spans="1:18" ht="15.75" x14ac:dyDescent="0.25">
      <c r="B10" s="6" t="s">
        <v>17</v>
      </c>
      <c r="C10" s="24">
        <v>5</v>
      </c>
      <c r="D10" s="24"/>
      <c r="E10" s="25"/>
      <c r="G10" s="1">
        <f t="shared" si="6"/>
        <v>0.2</v>
      </c>
      <c r="H10" s="1">
        <f t="shared" ref="H10:H73" si="13">H9+((I9+2*L9+2*O9+R9)*(1/6))</f>
        <v>2.9920031642115905</v>
      </c>
      <c r="I10" s="1">
        <f>(-1*G10^2*H10)*h</f>
        <v>-1.1968012656846366E-2</v>
      </c>
      <c r="J10" s="8">
        <f t="shared" ref="J10:J73" si="14">(G10+h/2)</f>
        <v>0.25</v>
      </c>
      <c r="K10" s="7">
        <f t="shared" ref="K10:K73" si="15">H10+I10*h/2</f>
        <v>2.9914047635787484</v>
      </c>
      <c r="L10" s="1">
        <f>(-1*J10^2*K10)*h</f>
        <v>-1.8696279772367177E-2</v>
      </c>
      <c r="M10">
        <f t="shared" ref="M10:M73" si="16">G10+h/2</f>
        <v>0.25</v>
      </c>
      <c r="N10">
        <f t="shared" ref="N10:N73" si="17">H10+L10*h/2</f>
        <v>2.9910683502229722</v>
      </c>
      <c r="O10" s="1">
        <f>(-1*M10^2*N10)*h</f>
        <v>-1.8694177188893577E-2</v>
      </c>
      <c r="P10">
        <f t="shared" ref="P10:P73" si="18">G10+h</f>
        <v>0.30000000000000004</v>
      </c>
      <c r="Q10">
        <f t="shared" ref="Q10:Q73" si="19">H10+O10*h</f>
        <v>2.9901337464927011</v>
      </c>
      <c r="R10" s="1">
        <f>(-1*P10^2*Q10)*h</f>
        <v>-2.6911203718434321E-2</v>
      </c>
    </row>
    <row r="11" spans="1:18" ht="15.75" x14ac:dyDescent="0.25">
      <c r="B11" s="6" t="s">
        <v>3</v>
      </c>
      <c r="C11" s="24">
        <v>0.1</v>
      </c>
      <c r="D11" s="24"/>
      <c r="E11" s="25"/>
      <c r="G11" s="1">
        <f t="shared" si="6"/>
        <v>0.30000000000000004</v>
      </c>
      <c r="H11" s="1">
        <f t="shared" si="13"/>
        <v>2.9730598091619567</v>
      </c>
      <c r="I11" s="1">
        <f>(-1*G11^2*H11)*h</f>
        <v>-2.6757538282457617E-2</v>
      </c>
      <c r="J11" s="8">
        <f t="shared" si="14"/>
        <v>0.35000000000000003</v>
      </c>
      <c r="K11" s="7">
        <f t="shared" si="15"/>
        <v>2.9717219322478337</v>
      </c>
      <c r="L11" s="1">
        <f>(-1*J11^2*K11)*h</f>
        <v>-3.6403593670035976E-2</v>
      </c>
      <c r="M11">
        <f t="shared" si="16"/>
        <v>0.35000000000000003</v>
      </c>
      <c r="N11">
        <f t="shared" si="17"/>
        <v>2.9712396294784549</v>
      </c>
      <c r="O11" s="1">
        <f>(-1*M11^2*N11)*h</f>
        <v>-3.6397685461111079E-2</v>
      </c>
      <c r="P11">
        <f t="shared" si="18"/>
        <v>0.4</v>
      </c>
      <c r="Q11">
        <f t="shared" si="19"/>
        <v>2.9694200406158457</v>
      </c>
      <c r="R11" s="1">
        <f>(-1*P11^2*Q11)*h</f>
        <v>-4.7510720649853545E-2</v>
      </c>
    </row>
    <row r="12" spans="1:18" x14ac:dyDescent="0.25">
      <c r="G12" s="1">
        <f t="shared" si="6"/>
        <v>0.4</v>
      </c>
      <c r="H12" s="1">
        <f t="shared" si="13"/>
        <v>2.9364146729628557</v>
      </c>
      <c r="I12" s="1">
        <f>(-1*G12^2*H12)*h</f>
        <v>-4.6982634767405704E-2</v>
      </c>
      <c r="J12" s="8">
        <f t="shared" si="14"/>
        <v>0.45</v>
      </c>
      <c r="K12" s="7">
        <f t="shared" si="15"/>
        <v>2.9340655412244856</v>
      </c>
      <c r="L12" s="1">
        <f>(-1*J12^2*K12)*h</f>
        <v>-5.9414827209795844E-2</v>
      </c>
      <c r="M12">
        <f t="shared" si="16"/>
        <v>0.45</v>
      </c>
      <c r="N12">
        <f t="shared" si="17"/>
        <v>2.9334439316023659</v>
      </c>
      <c r="O12" s="1">
        <f>(-1*M12^2*N12)*h</f>
        <v>-5.9402239614947921E-2</v>
      </c>
      <c r="P12">
        <f t="shared" si="18"/>
        <v>0.5</v>
      </c>
      <c r="Q12">
        <f t="shared" si="19"/>
        <v>2.9304744490013608</v>
      </c>
      <c r="R12" s="1">
        <f>(-1*P12^2*Q12)*h</f>
        <v>-7.3261861225034017E-2</v>
      </c>
    </row>
    <row r="13" spans="1:18" x14ac:dyDescent="0.25">
      <c r="A13" s="11"/>
      <c r="B13" s="11"/>
      <c r="C13" s="11"/>
      <c r="D13" s="11"/>
      <c r="E13" s="9"/>
      <c r="G13" s="1">
        <f t="shared" si="6"/>
        <v>0.5</v>
      </c>
      <c r="H13" s="1">
        <f t="shared" si="13"/>
        <v>2.8767682346892012</v>
      </c>
      <c r="I13" s="1">
        <f>(-1*G13^2*H13)*h</f>
        <v>-7.1919205867230038E-2</v>
      </c>
      <c r="J13" s="8">
        <f t="shared" si="14"/>
        <v>0.55000000000000004</v>
      </c>
      <c r="K13" s="7">
        <f t="shared" si="15"/>
        <v>2.8731722743958397</v>
      </c>
      <c r="L13" s="1">
        <f>(-1*J13^2*K13)*h</f>
        <v>-8.6913461300474171E-2</v>
      </c>
      <c r="M13">
        <f t="shared" si="16"/>
        <v>0.55000000000000004</v>
      </c>
      <c r="N13">
        <f t="shared" si="17"/>
        <v>2.8724225616241776</v>
      </c>
      <c r="O13" s="1">
        <f>(-1*M13^2*N13)*h</f>
        <v>-8.6890782489131402E-2</v>
      </c>
      <c r="P13">
        <f t="shared" si="18"/>
        <v>0.6</v>
      </c>
      <c r="Q13">
        <f t="shared" si="19"/>
        <v>2.8680791564402881</v>
      </c>
      <c r="R13" s="1">
        <f>(-1*P13^2*Q13)*h</f>
        <v>-0.10325084963185037</v>
      </c>
    </row>
    <row r="14" spans="1:18" x14ac:dyDescent="0.25">
      <c r="A14" s="10"/>
      <c r="B14" s="10"/>
      <c r="C14" s="10"/>
      <c r="D14" s="10"/>
      <c r="E14" s="9"/>
      <c r="G14" s="1">
        <f t="shared" si="6"/>
        <v>0.6</v>
      </c>
      <c r="H14" s="1">
        <f t="shared" si="13"/>
        <v>2.7896384775094858</v>
      </c>
      <c r="I14" s="1">
        <f>(-1*G14^2*H14)*h</f>
        <v>-0.10042698519034149</v>
      </c>
      <c r="J14" s="8">
        <f t="shared" si="14"/>
        <v>0.65</v>
      </c>
      <c r="K14" s="7">
        <f t="shared" si="15"/>
        <v>2.7846171282499688</v>
      </c>
      <c r="L14" s="1">
        <f>(-1*J14^2*K14)*h</f>
        <v>-0.1176500736685612</v>
      </c>
      <c r="M14">
        <f t="shared" si="16"/>
        <v>0.65</v>
      </c>
      <c r="N14">
        <f t="shared" si="17"/>
        <v>2.7837559738260578</v>
      </c>
      <c r="O14" s="1">
        <f>(-1*M14^2*N14)*h</f>
        <v>-0.11761368989415096</v>
      </c>
      <c r="P14">
        <f t="shared" si="18"/>
        <v>0.7</v>
      </c>
      <c r="Q14">
        <f t="shared" si="19"/>
        <v>2.7778771085200709</v>
      </c>
      <c r="R14" s="1">
        <f>(-1*P14^2*Q14)*h</f>
        <v>-0.13611597831748345</v>
      </c>
    </row>
    <row r="15" spans="1:18" x14ac:dyDescent="0.25">
      <c r="A15" s="10"/>
      <c r="B15" s="10"/>
      <c r="C15" s="10"/>
      <c r="D15" s="10"/>
      <c r="E15" s="9"/>
      <c r="G15" s="1">
        <f t="shared" si="6"/>
        <v>0.7</v>
      </c>
      <c r="H15" s="1">
        <f t="shared" si="13"/>
        <v>2.6717933957372777</v>
      </c>
      <c r="I15" s="1">
        <f>(-1*G15^2*H15)*h</f>
        <v>-0.13091787639112659</v>
      </c>
      <c r="J15" s="8">
        <f t="shared" si="14"/>
        <v>0.75</v>
      </c>
      <c r="K15" s="7">
        <f t="shared" si="15"/>
        <v>2.6652475019177215</v>
      </c>
      <c r="L15" s="1">
        <f>(-1*J15^2*K15)*h</f>
        <v>-0.14992017198287186</v>
      </c>
      <c r="M15">
        <f t="shared" si="16"/>
        <v>0.75</v>
      </c>
      <c r="N15">
        <f t="shared" si="17"/>
        <v>2.6642973871381339</v>
      </c>
      <c r="O15" s="1">
        <f>(-1*M15^2*N15)*h</f>
        <v>-0.14986672802652004</v>
      </c>
      <c r="P15">
        <f t="shared" si="18"/>
        <v>0.79999999999999993</v>
      </c>
      <c r="Q15">
        <f t="shared" si="19"/>
        <v>2.6568067229346255</v>
      </c>
      <c r="R15" s="1">
        <f>(-1*P15^2*Q15)*h</f>
        <v>-0.17003563026781601</v>
      </c>
    </row>
    <row r="16" spans="1:18" x14ac:dyDescent="0.25">
      <c r="A16" s="10"/>
      <c r="B16" s="10"/>
      <c r="C16" s="10"/>
      <c r="D16" s="10"/>
      <c r="E16" s="9"/>
      <c r="G16" s="1">
        <f t="shared" si="6"/>
        <v>0.79999999999999993</v>
      </c>
      <c r="H16" s="1">
        <f t="shared" si="13"/>
        <v>2.5217055112909899</v>
      </c>
      <c r="I16" s="1">
        <f>(-1*G16^2*H16)*h</f>
        <v>-0.16138915272262333</v>
      </c>
      <c r="J16" s="8">
        <f t="shared" si="14"/>
        <v>0.85</v>
      </c>
      <c r="K16" s="7">
        <f t="shared" si="15"/>
        <v>2.5136360536548588</v>
      </c>
      <c r="L16" s="1">
        <f>(-1*J16^2*K16)*h</f>
        <v>-0.18161020487656354</v>
      </c>
      <c r="M16">
        <f t="shared" si="16"/>
        <v>0.85</v>
      </c>
      <c r="N16">
        <f t="shared" si="17"/>
        <v>2.5126250010471618</v>
      </c>
      <c r="O16" s="1">
        <f>(-1*M16^2*N16)*h</f>
        <v>-0.18153715632565742</v>
      </c>
      <c r="P16">
        <f t="shared" si="18"/>
        <v>0.89999999999999991</v>
      </c>
      <c r="Q16">
        <f t="shared" si="19"/>
        <v>2.5035517956584239</v>
      </c>
      <c r="R16" s="1">
        <f>(-1*P16^2*Q16)*h</f>
        <v>-0.20278769544833231</v>
      </c>
    </row>
    <row r="17" spans="1:18" x14ac:dyDescent="0.25">
      <c r="A17" s="9"/>
      <c r="B17" s="9"/>
      <c r="C17" s="9"/>
      <c r="D17" s="9"/>
      <c r="E17" s="9"/>
      <c r="G17" s="1">
        <f t="shared" si="6"/>
        <v>0.89999999999999991</v>
      </c>
      <c r="H17" s="1">
        <f t="shared" si="13"/>
        <v>2.3399602495284237</v>
      </c>
      <c r="I17" s="1">
        <f>(-1*G17^2*H17)*h</f>
        <v>-0.18953678021180231</v>
      </c>
      <c r="J17" s="8">
        <f t="shared" si="14"/>
        <v>0.95</v>
      </c>
      <c r="K17" s="7">
        <f t="shared" si="15"/>
        <v>2.3304834105178336</v>
      </c>
      <c r="L17" s="1">
        <f>(-1*J17^2*K17)*h</f>
        <v>-0.21032612779923446</v>
      </c>
      <c r="M17">
        <f t="shared" si="16"/>
        <v>0.95</v>
      </c>
      <c r="N17">
        <f t="shared" si="17"/>
        <v>2.3294439431384619</v>
      </c>
      <c r="O17" s="1">
        <f>(-1*M17^2*N17)*h</f>
        <v>-0.2102323158682462</v>
      </c>
      <c r="P17">
        <f t="shared" si="18"/>
        <v>0.99999999999999989</v>
      </c>
      <c r="Q17">
        <f t="shared" si="19"/>
        <v>2.3189370179415993</v>
      </c>
      <c r="R17" s="1">
        <f>(-1*P17^2*Q17)*h</f>
        <v>-0.23189370179415991</v>
      </c>
    </row>
    <row r="18" spans="1:18" x14ac:dyDescent="0.25">
      <c r="G18" s="1">
        <f t="shared" si="6"/>
        <v>0.99999999999999989</v>
      </c>
      <c r="H18" s="1">
        <f t="shared" si="13"/>
        <v>2.129535687971603</v>
      </c>
      <c r="I18" s="1">
        <f>(-1*G18^2*H18)*h</f>
        <v>-0.21295356879716026</v>
      </c>
      <c r="J18" s="8">
        <f t="shared" si="14"/>
        <v>1.0499999999999998</v>
      </c>
      <c r="K18" s="7">
        <f t="shared" si="15"/>
        <v>2.1188880095317448</v>
      </c>
      <c r="L18" s="1">
        <f>(-1*J18^2*K18)*h</f>
        <v>-0.2336074030508748</v>
      </c>
      <c r="M18">
        <f t="shared" si="16"/>
        <v>1.0499999999999998</v>
      </c>
      <c r="N18">
        <f t="shared" si="17"/>
        <v>2.1178553178190591</v>
      </c>
      <c r="O18" s="1">
        <f>(-1*M18^2*N18)*h</f>
        <v>-0.2334935487895512</v>
      </c>
      <c r="P18">
        <f t="shared" si="18"/>
        <v>1.0999999999999999</v>
      </c>
      <c r="Q18">
        <f t="shared" si="19"/>
        <v>2.1061863330926478</v>
      </c>
      <c r="R18" s="1">
        <f>(-1*P18^2*Q18)*h</f>
        <v>-0.25484854630421033</v>
      </c>
    </row>
    <row r="19" spans="1:18" x14ac:dyDescent="0.25">
      <c r="G19" s="1">
        <f t="shared" si="6"/>
        <v>1.0999999999999999</v>
      </c>
      <c r="H19" s="1">
        <f t="shared" si="13"/>
        <v>1.8958683515078993</v>
      </c>
      <c r="I19" s="1">
        <f>(-1*G19^2*H19)*h</f>
        <v>-0.22940007053245581</v>
      </c>
      <c r="J19" s="8">
        <f t="shared" si="14"/>
        <v>1.1499999999999999</v>
      </c>
      <c r="K19" s="7">
        <f t="shared" si="15"/>
        <v>1.8843983479812765</v>
      </c>
      <c r="L19" s="1">
        <f>(-1*J19^2*K19)*h</f>
        <v>-0.24921168152052378</v>
      </c>
      <c r="M19">
        <f t="shared" si="16"/>
        <v>1.1499999999999999</v>
      </c>
      <c r="N19">
        <f t="shared" si="17"/>
        <v>1.8834077674318732</v>
      </c>
      <c r="O19" s="1">
        <f>(-1*M19^2*N19)*h</f>
        <v>-0.2490806772428652</v>
      </c>
      <c r="P19">
        <f t="shared" si="18"/>
        <v>1.2</v>
      </c>
      <c r="Q19">
        <f t="shared" si="19"/>
        <v>1.8709602837836128</v>
      </c>
      <c r="R19" s="1">
        <f>(-1*P19^2*Q19)*h</f>
        <v>-0.26941828086484021</v>
      </c>
    </row>
    <row r="20" spans="1:18" x14ac:dyDescent="0.25">
      <c r="G20" s="1">
        <f t="shared" si="6"/>
        <v>1.2</v>
      </c>
      <c r="H20" s="1">
        <f t="shared" si="13"/>
        <v>1.6466345066872203</v>
      </c>
      <c r="I20" s="1">
        <f>(-1*G20^2*H20)*h</f>
        <v>-0.23711536896295971</v>
      </c>
      <c r="J20" s="8">
        <f t="shared" si="14"/>
        <v>1.25</v>
      </c>
      <c r="K20" s="7">
        <f t="shared" si="15"/>
        <v>1.6347787382390724</v>
      </c>
      <c r="L20" s="1">
        <f>(-1*J20^2*K20)*h</f>
        <v>-0.25543417784985506</v>
      </c>
      <c r="M20">
        <f t="shared" si="16"/>
        <v>1.25</v>
      </c>
      <c r="N20">
        <f t="shared" si="17"/>
        <v>1.6338627977947275</v>
      </c>
      <c r="O20" s="1">
        <f>(-1*M20^2*N20)*h</f>
        <v>-0.25529106215542618</v>
      </c>
      <c r="P20">
        <f t="shared" si="18"/>
        <v>1.3</v>
      </c>
      <c r="Q20">
        <f t="shared" si="19"/>
        <v>1.6211054004716776</v>
      </c>
      <c r="R20" s="1">
        <f>(-1*P20^2*Q20)*h</f>
        <v>-0.27396681267971357</v>
      </c>
    </row>
    <row r="21" spans="1:18" x14ac:dyDescent="0.25">
      <c r="G21" s="1">
        <f t="shared" si="6"/>
        <v>1.3</v>
      </c>
      <c r="H21" s="1">
        <f t="shared" si="13"/>
        <v>1.3912123964116812</v>
      </c>
      <c r="I21" s="1">
        <f>(-1*G21^2*H21)*h</f>
        <v>-0.23511489499357416</v>
      </c>
      <c r="J21" s="8">
        <f t="shared" si="14"/>
        <v>1.35</v>
      </c>
      <c r="K21" s="7">
        <f t="shared" si="15"/>
        <v>1.3794566516620024</v>
      </c>
      <c r="L21" s="1">
        <f>(-1*J21^2*K21)*h</f>
        <v>-0.2514059747654</v>
      </c>
      <c r="M21">
        <f t="shared" si="16"/>
        <v>1.35</v>
      </c>
      <c r="N21">
        <f t="shared" si="17"/>
        <v>1.3786420976734111</v>
      </c>
      <c r="O21" s="1">
        <f>(-1*M21^2*N21)*h</f>
        <v>-0.2512575223009792</v>
      </c>
      <c r="P21">
        <f t="shared" si="18"/>
        <v>1.4000000000000001</v>
      </c>
      <c r="Q21">
        <f t="shared" si="19"/>
        <v>1.3660866441815833</v>
      </c>
      <c r="R21" s="1">
        <f>(-1*P21^2*Q21)*h</f>
        <v>-0.26775298225959038</v>
      </c>
    </row>
    <row r="22" spans="1:18" x14ac:dyDescent="0.25">
      <c r="G22" s="1">
        <f t="shared" si="6"/>
        <v>1.4000000000000001</v>
      </c>
      <c r="H22" s="1">
        <f t="shared" si="13"/>
        <v>1.1398465845140273</v>
      </c>
      <c r="I22" s="1">
        <f>(-1*G22^2*H22)*h</f>
        <v>-0.22340993056474942</v>
      </c>
      <c r="J22" s="8">
        <f t="shared" si="14"/>
        <v>1.4500000000000002</v>
      </c>
      <c r="K22" s="7">
        <f t="shared" si="15"/>
        <v>1.1286760879857898</v>
      </c>
      <c r="L22" s="1">
        <f>(-1*J22^2*K22)*h</f>
        <v>-0.23730414749901235</v>
      </c>
      <c r="M22">
        <f t="shared" si="16"/>
        <v>1.4500000000000002</v>
      </c>
      <c r="N22">
        <f t="shared" si="17"/>
        <v>1.1279813771390768</v>
      </c>
      <c r="O22" s="1">
        <f>(-1*M22^2*N22)*h</f>
        <v>-0.23715808454349097</v>
      </c>
      <c r="P22">
        <f t="shared" si="18"/>
        <v>1.5000000000000002</v>
      </c>
      <c r="Q22">
        <f t="shared" si="19"/>
        <v>1.1161307760596781</v>
      </c>
      <c r="R22" s="1">
        <f>(-1*P22^2*Q22)*h</f>
        <v>-0.25112942461342769</v>
      </c>
    </row>
    <row r="23" spans="1:18" x14ac:dyDescent="0.25">
      <c r="G23" s="1">
        <f t="shared" si="6"/>
        <v>1.5000000000000002</v>
      </c>
      <c r="H23" s="1">
        <f t="shared" si="13"/>
        <v>0.90260261463683</v>
      </c>
      <c r="I23" s="1">
        <f>(-1*G23^2*H23)*h</f>
        <v>-0.20308558829328685</v>
      </c>
      <c r="J23" s="8">
        <f t="shared" si="14"/>
        <v>1.5500000000000003</v>
      </c>
      <c r="K23" s="7">
        <f t="shared" si="15"/>
        <v>0.89244833522216571</v>
      </c>
      <c r="L23" s="1">
        <f>(-1*J23^2*K23)*h</f>
        <v>-0.2144107125371254</v>
      </c>
      <c r="M23">
        <f t="shared" si="16"/>
        <v>1.5500000000000003</v>
      </c>
      <c r="N23">
        <f t="shared" si="17"/>
        <v>0.89188207900997374</v>
      </c>
      <c r="O23" s="1">
        <f>(-1*M23^2*N23)*h</f>
        <v>-0.21427466948214624</v>
      </c>
      <c r="P23">
        <f t="shared" si="18"/>
        <v>1.6000000000000003</v>
      </c>
      <c r="Q23">
        <f t="shared" si="19"/>
        <v>0.88117514768861538</v>
      </c>
      <c r="R23" s="1">
        <f>(-1*P23^2*Q23)*h</f>
        <v>-0.22558083780828564</v>
      </c>
    </row>
    <row r="24" spans="1:18" x14ac:dyDescent="0.25">
      <c r="G24" s="1">
        <f t="shared" si="6"/>
        <v>1.6000000000000003</v>
      </c>
      <c r="H24" s="1">
        <f t="shared" si="13"/>
        <v>0.68826308294681071</v>
      </c>
      <c r="I24" s="1">
        <f>(-1*G24^2*H24)*h</f>
        <v>-0.17619534923438362</v>
      </c>
      <c r="J24" s="8">
        <f t="shared" si="14"/>
        <v>1.6500000000000004</v>
      </c>
      <c r="K24" s="7">
        <f t="shared" si="15"/>
        <v>0.67945331548509158</v>
      </c>
      <c r="L24" s="1">
        <f>(-1*J24^2*K24)*h</f>
        <v>-0.18498116514081628</v>
      </c>
      <c r="M24">
        <f t="shared" si="16"/>
        <v>1.6500000000000004</v>
      </c>
      <c r="N24">
        <f t="shared" si="17"/>
        <v>0.6790140246897699</v>
      </c>
      <c r="O24" s="1">
        <f>(-1*M24^2*N24)*h</f>
        <v>-0.18486156822178992</v>
      </c>
      <c r="P24">
        <f t="shared" si="18"/>
        <v>1.7000000000000004</v>
      </c>
      <c r="Q24">
        <f t="shared" si="19"/>
        <v>0.66977692612463169</v>
      </c>
      <c r="R24" s="1">
        <f>(-1*P24^2*Q24)*h</f>
        <v>-0.19356553165001866</v>
      </c>
    </row>
    <row r="25" spans="1:18" x14ac:dyDescent="0.25">
      <c r="G25" s="1">
        <f t="shared" si="6"/>
        <v>1.7000000000000004</v>
      </c>
      <c r="H25" s="1">
        <f t="shared" si="13"/>
        <v>0.50335535834520828</v>
      </c>
      <c r="I25" s="1">
        <f>(-1*G25^2*H25)*h</f>
        <v>-0.14546969856176525</v>
      </c>
      <c r="J25" s="8">
        <f t="shared" si="14"/>
        <v>1.7500000000000004</v>
      </c>
      <c r="K25" s="7">
        <f t="shared" si="15"/>
        <v>0.49608187341712001</v>
      </c>
      <c r="L25" s="1">
        <f>(-1*J25^2*K25)*h</f>
        <v>-0.15192507373399311</v>
      </c>
      <c r="M25">
        <f t="shared" si="16"/>
        <v>1.7500000000000004</v>
      </c>
      <c r="N25">
        <f t="shared" si="17"/>
        <v>0.49575910465850864</v>
      </c>
      <c r="O25" s="1">
        <f>(-1*M25^2*N25)*h</f>
        <v>-0.15182622580166838</v>
      </c>
      <c r="P25">
        <f t="shared" si="18"/>
        <v>1.8000000000000005</v>
      </c>
      <c r="Q25">
        <f t="shared" si="19"/>
        <v>0.48817273576504144</v>
      </c>
      <c r="R25" s="1">
        <f>(-1*P25^2*Q25)*h</f>
        <v>-0.1581679663878735</v>
      </c>
    </row>
    <row r="26" spans="1:18" x14ac:dyDescent="0.25">
      <c r="G26" s="1">
        <f t="shared" si="6"/>
        <v>1.8000000000000005</v>
      </c>
      <c r="H26" s="1">
        <f t="shared" si="13"/>
        <v>0.35149864767504801</v>
      </c>
      <c r="I26" s="1">
        <f>(-1*G26^2*H26)*h</f>
        <v>-0.11388556184671561</v>
      </c>
      <c r="J26" s="8">
        <f t="shared" si="14"/>
        <v>1.8500000000000005</v>
      </c>
      <c r="K26" s="7">
        <f t="shared" si="15"/>
        <v>0.34580436958271221</v>
      </c>
      <c r="L26" s="1">
        <f>(-1*J26^2*K26)*h</f>
        <v>-0.11835154548968332</v>
      </c>
      <c r="M26">
        <f t="shared" si="16"/>
        <v>1.8500000000000005</v>
      </c>
      <c r="N26">
        <f t="shared" si="17"/>
        <v>0.34558107040056385</v>
      </c>
      <c r="O26" s="1">
        <f>(-1*M26^2*N26)*h</f>
        <v>-0.11827512134459306</v>
      </c>
      <c r="P26">
        <f t="shared" si="18"/>
        <v>1.9000000000000006</v>
      </c>
      <c r="Q26">
        <f t="shared" si="19"/>
        <v>0.3396711355405887</v>
      </c>
      <c r="R26" s="1">
        <f>(-1*P26^2*Q26)*h</f>
        <v>-0.12262127993015259</v>
      </c>
    </row>
    <row r="27" spans="1:18" x14ac:dyDescent="0.25">
      <c r="G27" s="1">
        <f t="shared" si="6"/>
        <v>1.9000000000000006</v>
      </c>
      <c r="H27" s="1">
        <f t="shared" si="13"/>
        <v>0.2332052851008112</v>
      </c>
      <c r="I27" s="1">
        <f>(-1*G27^2*H27)*h</f>
        <v>-8.418710792139289E-2</v>
      </c>
      <c r="J27" s="8">
        <f t="shared" si="14"/>
        <v>1.9500000000000006</v>
      </c>
      <c r="K27" s="7">
        <f t="shared" si="15"/>
        <v>0.22899592970474156</v>
      </c>
      <c r="L27" s="1">
        <f>(-1*J27^2*K27)*h</f>
        <v>-8.7075702270228039E-2</v>
      </c>
      <c r="M27">
        <f t="shared" si="16"/>
        <v>1.9500000000000006</v>
      </c>
      <c r="N27">
        <f t="shared" si="17"/>
        <v>0.22885149998729981</v>
      </c>
      <c r="O27" s="1">
        <f>(-1*M27^2*N27)*h</f>
        <v>-8.7020782870170815E-2</v>
      </c>
      <c r="P27">
        <f t="shared" si="18"/>
        <v>2.0000000000000004</v>
      </c>
      <c r="Q27">
        <f t="shared" si="19"/>
        <v>0.22450320681379413</v>
      </c>
      <c r="R27" s="1">
        <f>(-1*P27^2*Q27)*h</f>
        <v>-8.9801282725517698E-2</v>
      </c>
    </row>
    <row r="28" spans="1:18" x14ac:dyDescent="0.25">
      <c r="G28" s="1">
        <f t="shared" si="6"/>
        <v>2.0000000000000004</v>
      </c>
      <c r="H28" s="1">
        <f t="shared" si="13"/>
        <v>0.14617505827952648</v>
      </c>
      <c r="I28" s="1">
        <f>(-1*G28^2*H28)*h</f>
        <v>-5.8470023311810615E-2</v>
      </c>
      <c r="J28" s="8">
        <f t="shared" si="14"/>
        <v>2.0500000000000003</v>
      </c>
      <c r="K28" s="7">
        <f t="shared" si="15"/>
        <v>0.14325155711393595</v>
      </c>
      <c r="L28" s="1">
        <f>(-1*J28^2*K28)*h</f>
        <v>-6.0201466877131606E-2</v>
      </c>
      <c r="M28">
        <f t="shared" si="16"/>
        <v>2.0500000000000003</v>
      </c>
      <c r="N28">
        <f t="shared" si="17"/>
        <v>0.1431649849356699</v>
      </c>
      <c r="O28" s="1">
        <f>(-1*M28^2*N28)*h</f>
        <v>-6.0165084919215295E-2</v>
      </c>
      <c r="P28">
        <f t="shared" si="18"/>
        <v>2.1000000000000005</v>
      </c>
      <c r="Q28">
        <f t="shared" si="19"/>
        <v>0.14015854978760495</v>
      </c>
      <c r="R28" s="1">
        <f>(-1*P28^2*Q28)*h</f>
        <v>-6.1809920456333815E-2</v>
      </c>
    </row>
    <row r="29" spans="1:18" x14ac:dyDescent="0.25">
      <c r="G29" s="1">
        <f t="shared" si="6"/>
        <v>2.1000000000000005</v>
      </c>
      <c r="H29" s="1">
        <f t="shared" si="13"/>
        <v>8.6006217052720116E-2</v>
      </c>
      <c r="I29" s="1">
        <f>(-1*G29^2*H29)*h</f>
        <v>-3.7928741720249591E-2</v>
      </c>
      <c r="J29" s="8">
        <f t="shared" si="14"/>
        <v>2.1500000000000004</v>
      </c>
      <c r="K29" s="7">
        <f t="shared" si="15"/>
        <v>8.410977996670764E-2</v>
      </c>
      <c r="L29" s="1">
        <f>(-1*J29^2*K29)*h</f>
        <v>-3.887974578961062E-2</v>
      </c>
      <c r="M29">
        <f t="shared" si="16"/>
        <v>2.1500000000000004</v>
      </c>
      <c r="N29">
        <f t="shared" si="17"/>
        <v>8.4062229763239585E-2</v>
      </c>
      <c r="O29" s="1">
        <f>(-1*M29^2*N29)*h</f>
        <v>-3.8857765708057518E-2</v>
      </c>
      <c r="P29">
        <f t="shared" si="18"/>
        <v>2.2000000000000006</v>
      </c>
      <c r="Q29">
        <f t="shared" si="19"/>
        <v>8.2120440481914359E-2</v>
      </c>
      <c r="R29" s="1">
        <f>(-1*P29^2*Q29)*h</f>
        <v>-3.9746293193246574E-2</v>
      </c>
    </row>
    <row r="30" spans="1:18" x14ac:dyDescent="0.25">
      <c r="G30" s="1">
        <f t="shared" si="6"/>
        <v>2.2000000000000006</v>
      </c>
      <c r="H30" s="1">
        <f t="shared" si="13"/>
        <v>4.7147874067914708E-2</v>
      </c>
      <c r="I30" s="1">
        <f>(-1*G30^2*H30)*h</f>
        <v>-2.2819571048870731E-2</v>
      </c>
      <c r="J30" s="8">
        <f t="shared" si="14"/>
        <v>2.2500000000000004</v>
      </c>
      <c r="K30" s="7">
        <f t="shared" si="15"/>
        <v>4.6006895515471172E-2</v>
      </c>
      <c r="L30" s="1">
        <f>(-1*J30^2*K30)*h</f>
        <v>-2.3290990854707289E-2</v>
      </c>
      <c r="M30">
        <f t="shared" si="16"/>
        <v>2.2500000000000004</v>
      </c>
      <c r="N30">
        <f t="shared" si="17"/>
        <v>4.5983324525179343E-2</v>
      </c>
      <c r="O30" s="1">
        <f>(-1*M30^2*N30)*h</f>
        <v>-2.3279058040872051E-2</v>
      </c>
      <c r="P30">
        <f t="shared" si="18"/>
        <v>2.3000000000000007</v>
      </c>
      <c r="Q30">
        <f t="shared" si="19"/>
        <v>4.4819968263827503E-2</v>
      </c>
      <c r="R30" s="1">
        <f>(-1*P30^2*Q30)*h</f>
        <v>-2.3709763211564767E-2</v>
      </c>
    </row>
    <row r="31" spans="1:18" x14ac:dyDescent="0.25">
      <c r="G31" s="1">
        <f t="shared" si="6"/>
        <v>2.3000000000000007</v>
      </c>
      <c r="H31" s="1">
        <f t="shared" si="13"/>
        <v>2.3869635392649018E-2</v>
      </c>
      <c r="I31" s="1">
        <f>(-1*G31^2*H31)*h</f>
        <v>-1.2627037122711338E-2</v>
      </c>
      <c r="J31" s="8">
        <f t="shared" si="14"/>
        <v>2.3500000000000005</v>
      </c>
      <c r="K31" s="7">
        <f t="shared" si="15"/>
        <v>2.323828353651345E-2</v>
      </c>
      <c r="L31" s="1">
        <f>(-1*J31^2*K31)*h</f>
        <v>-1.2833342083039559E-2</v>
      </c>
      <c r="M31">
        <f t="shared" si="16"/>
        <v>2.3500000000000005</v>
      </c>
      <c r="N31">
        <f t="shared" si="17"/>
        <v>2.322796828849704E-2</v>
      </c>
      <c r="O31" s="1">
        <f>(-1*M31^2*N31)*h</f>
        <v>-1.2827645487322499E-2</v>
      </c>
      <c r="P31">
        <f t="shared" si="18"/>
        <v>2.4000000000000008</v>
      </c>
      <c r="Q31">
        <f t="shared" si="19"/>
        <v>2.2586870843916768E-2</v>
      </c>
      <c r="R31" s="1">
        <f>(-1*P31^2*Q31)*h</f>
        <v>-1.3010037606096068E-2</v>
      </c>
    </row>
    <row r="32" spans="1:18" x14ac:dyDescent="0.25">
      <c r="G32" s="1">
        <f t="shared" si="6"/>
        <v>2.4000000000000008</v>
      </c>
      <c r="H32" s="1">
        <f t="shared" si="13"/>
        <v>1.1043127081060432E-2</v>
      </c>
      <c r="I32" s="1">
        <f>(-1*G32^2*H32)*h</f>
        <v>-6.3608411986908146E-3</v>
      </c>
      <c r="J32" s="8">
        <f t="shared" si="14"/>
        <v>2.4500000000000006</v>
      </c>
      <c r="K32" s="7">
        <f t="shared" si="15"/>
        <v>1.0725085021125891E-2</v>
      </c>
      <c r="L32" s="1">
        <f>(-1*J32^2*K32)*h</f>
        <v>-6.4377322839308197E-3</v>
      </c>
      <c r="M32">
        <f t="shared" si="16"/>
        <v>2.4500000000000006</v>
      </c>
      <c r="N32">
        <f t="shared" si="17"/>
        <v>1.0721240466863891E-2</v>
      </c>
      <c r="O32" s="1">
        <f>(-1*M32^2*N32)*h</f>
        <v>-6.4354245902350548E-3</v>
      </c>
      <c r="P32">
        <f t="shared" si="18"/>
        <v>2.5000000000000009</v>
      </c>
      <c r="Q32">
        <f t="shared" si="19"/>
        <v>1.0399584622036927E-2</v>
      </c>
      <c r="R32" s="1">
        <f>(-1*P32^2*Q32)*h</f>
        <v>-6.4997403887730844E-3</v>
      </c>
    </row>
    <row r="33" spans="7:18" x14ac:dyDescent="0.25">
      <c r="G33" s="1">
        <f t="shared" si="6"/>
        <v>2.5000000000000009</v>
      </c>
      <c r="H33" s="1">
        <f t="shared" si="13"/>
        <v>4.6086445250944907E-3</v>
      </c>
      <c r="I33" s="1">
        <f>(-1*G33^2*H33)*h</f>
        <v>-2.8804028281840589E-3</v>
      </c>
      <c r="J33" s="8">
        <f t="shared" si="14"/>
        <v>2.5500000000000007</v>
      </c>
      <c r="K33" s="7">
        <f t="shared" si="15"/>
        <v>4.4646243836852879E-3</v>
      </c>
      <c r="L33" s="1">
        <f>(-1*J33^2*K33)*h</f>
        <v>-2.9031220054913601E-3</v>
      </c>
      <c r="M33">
        <f t="shared" si="16"/>
        <v>2.5500000000000007</v>
      </c>
      <c r="N33">
        <f t="shared" si="17"/>
        <v>4.463488424819923E-3</v>
      </c>
      <c r="O33" s="1">
        <f>(-1*M33^2*N33)*h</f>
        <v>-2.9023833482391568E-3</v>
      </c>
      <c r="P33">
        <f t="shared" si="18"/>
        <v>2.600000000000001</v>
      </c>
      <c r="Q33">
        <f t="shared" si="19"/>
        <v>4.3184061902705748E-3</v>
      </c>
      <c r="R33" s="1">
        <f>(-1*P33^2*Q33)*h</f>
        <v>-2.9192425846229111E-3</v>
      </c>
    </row>
    <row r="34" spans="7:18" x14ac:dyDescent="0.25">
      <c r="G34" s="1">
        <f t="shared" si="6"/>
        <v>2.600000000000001</v>
      </c>
      <c r="H34" s="1">
        <f t="shared" si="13"/>
        <v>1.7068685050498234E-3</v>
      </c>
      <c r="I34" s="1">
        <f>(-1*G34^2*H34)*h</f>
        <v>-1.1538431094136816E-3</v>
      </c>
      <c r="J34" s="8">
        <f t="shared" si="14"/>
        <v>2.6500000000000008</v>
      </c>
      <c r="K34" s="7">
        <f t="shared" si="15"/>
        <v>1.6491763495791393E-3</v>
      </c>
      <c r="L34" s="1">
        <f>(-1*J34^2*K34)*h</f>
        <v>-1.1581340914919513E-3</v>
      </c>
      <c r="M34">
        <f t="shared" si="16"/>
        <v>2.6500000000000008</v>
      </c>
      <c r="N34">
        <f t="shared" si="17"/>
        <v>1.6489618004752258E-3</v>
      </c>
      <c r="O34" s="1">
        <f>(-1*M34^2*N34)*h</f>
        <v>-1.157983424383728E-3</v>
      </c>
      <c r="P34">
        <f t="shared" si="18"/>
        <v>2.7000000000000011</v>
      </c>
      <c r="Q34">
        <f t="shared" si="19"/>
        <v>1.5910701626114505E-3</v>
      </c>
      <c r="R34" s="1">
        <f>(-1*P34^2*Q34)*h</f>
        <v>-1.1598901485437485E-3</v>
      </c>
    </row>
    <row r="35" spans="7:18" x14ac:dyDescent="0.25">
      <c r="G35" s="1">
        <f t="shared" si="6"/>
        <v>2.7000000000000011</v>
      </c>
      <c r="H35" s="1">
        <f t="shared" si="13"/>
        <v>5.4920712343169207E-4</v>
      </c>
      <c r="I35" s="1">
        <f>(-1*G35^2*H35)*h</f>
        <v>-4.0037199298170381E-4</v>
      </c>
      <c r="J35" s="8">
        <f t="shared" si="14"/>
        <v>2.7500000000000009</v>
      </c>
      <c r="K35" s="7">
        <f t="shared" si="15"/>
        <v>5.291885237826069E-4</v>
      </c>
      <c r="L35" s="1">
        <f>(-1*J35^2*K35)*h</f>
        <v>-4.0019882111059677E-4</v>
      </c>
      <c r="M35">
        <f t="shared" si="16"/>
        <v>2.7500000000000009</v>
      </c>
      <c r="N35">
        <f t="shared" si="17"/>
        <v>5.2919718237616226E-4</v>
      </c>
      <c r="O35" s="1">
        <f>(-1*M35^2*N35)*h</f>
        <v>-4.0020536917197304E-4</v>
      </c>
      <c r="P35">
        <f t="shared" si="18"/>
        <v>2.8000000000000012</v>
      </c>
      <c r="Q35">
        <f t="shared" si="19"/>
        <v>5.0918658651449475E-4</v>
      </c>
      <c r="R35" s="1">
        <f>(-1*P35^2*Q35)*h</f>
        <v>-3.992022838273642E-4</v>
      </c>
    </row>
    <row r="36" spans="7:18" x14ac:dyDescent="0.25">
      <c r="G36" s="1">
        <f t="shared" si="6"/>
        <v>2.8000000000000012</v>
      </c>
      <c r="H36" s="1">
        <f t="shared" si="13"/>
        <v>1.4914334720265743E-4</v>
      </c>
      <c r="I36" s="1">
        <f>(-1*G36^2*H36)*h</f>
        <v>-1.1692838420688351E-4</v>
      </c>
      <c r="J36" s="8">
        <f t="shared" si="14"/>
        <v>2.850000000000001</v>
      </c>
      <c r="K36" s="7">
        <f t="shared" si="15"/>
        <v>1.4329692799231326E-4</v>
      </c>
      <c r="L36" s="1">
        <f>(-1*J36^2*K36)*h</f>
        <v>-1.1639292976175654E-4</v>
      </c>
      <c r="M36">
        <f t="shared" si="16"/>
        <v>2.850000000000001</v>
      </c>
      <c r="N36">
        <f t="shared" si="17"/>
        <v>1.4332370071456962E-4</v>
      </c>
      <c r="O36" s="1">
        <f>(-1*M36^2*N36)*h</f>
        <v>-1.1641467590540927E-4</v>
      </c>
      <c r="P36">
        <f t="shared" si="18"/>
        <v>2.9000000000000012</v>
      </c>
      <c r="Q36">
        <f t="shared" si="19"/>
        <v>1.3750187961211651E-4</v>
      </c>
      <c r="R36" s="1">
        <f>(-1*P36^2*Q36)*h</f>
        <v>-1.156390807537901E-4</v>
      </c>
    </row>
    <row r="37" spans="7:18" x14ac:dyDescent="0.25">
      <c r="G37" s="1">
        <f t="shared" si="6"/>
        <v>2.9000000000000012</v>
      </c>
      <c r="H37" s="1">
        <f t="shared" si="13"/>
        <v>3.2779567820156568E-5</v>
      </c>
      <c r="I37" s="1">
        <f>(-1*G37^2*H37)*h</f>
        <v>-2.7567616536751698E-5</v>
      </c>
      <c r="J37" s="8">
        <f t="shared" si="14"/>
        <v>2.9500000000000011</v>
      </c>
      <c r="K37" s="7">
        <f t="shared" si="15"/>
        <v>3.1401186993318981E-5</v>
      </c>
      <c r="L37" s="1">
        <f>(-1*J37^2*K37)*h</f>
        <v>-2.7326882980935861E-5</v>
      </c>
      <c r="M37">
        <f t="shared" si="16"/>
        <v>2.9500000000000011</v>
      </c>
      <c r="N37">
        <f t="shared" si="17"/>
        <v>3.1413223671109777E-5</v>
      </c>
      <c r="O37" s="1">
        <f>(-1*M37^2*N37)*h</f>
        <v>-2.7337357899783302E-5</v>
      </c>
      <c r="P37">
        <f t="shared" si="18"/>
        <v>3.0000000000000013</v>
      </c>
      <c r="Q37">
        <f t="shared" si="19"/>
        <v>3.0045832030178236E-5</v>
      </c>
      <c r="R37" s="1">
        <f>(-1*P37^2*Q37)*h</f>
        <v>-2.7041248827160435E-5</v>
      </c>
    </row>
    <row r="38" spans="7:18" x14ac:dyDescent="0.25">
      <c r="G38" s="1">
        <f t="shared" si="6"/>
        <v>3.0000000000000013</v>
      </c>
      <c r="H38" s="1">
        <f t="shared" si="13"/>
        <v>5.45667663259816E-6</v>
      </c>
      <c r="I38" s="1">
        <f>(-1*G38^2*H38)*h</f>
        <v>-4.9110089693383481E-6</v>
      </c>
      <c r="J38" s="8">
        <f t="shared" si="14"/>
        <v>3.0500000000000012</v>
      </c>
      <c r="K38" s="7">
        <f t="shared" si="15"/>
        <v>5.2111261841312428E-6</v>
      </c>
      <c r="L38" s="1">
        <f>(-1*J38^2*K38)*h</f>
        <v>-4.8476501327880923E-6</v>
      </c>
      <c r="M38">
        <f t="shared" si="16"/>
        <v>3.0500000000000012</v>
      </c>
      <c r="N38">
        <f t="shared" si="17"/>
        <v>5.2142941259587557E-6</v>
      </c>
      <c r="O38" s="1">
        <f>(-1*M38^2*N38)*h</f>
        <v>-4.8505971106731367E-6</v>
      </c>
      <c r="P38">
        <f t="shared" si="18"/>
        <v>3.1000000000000014</v>
      </c>
      <c r="Q38">
        <f t="shared" si="19"/>
        <v>4.9716169215308464E-6</v>
      </c>
      <c r="R38" s="1">
        <f>(-1*P38^2*Q38)*h</f>
        <v>-4.7777238615911477E-6</v>
      </c>
    </row>
    <row r="39" spans="7:18" x14ac:dyDescent="0.25">
      <c r="G39" s="1"/>
      <c r="H39" s="1"/>
      <c r="I39" s="1"/>
      <c r="J39" s="8"/>
      <c r="K39" s="7"/>
      <c r="L39" s="1"/>
      <c r="O39" s="1"/>
      <c r="R39" s="1"/>
    </row>
    <row r="40" spans="7:18" x14ac:dyDescent="0.25">
      <c r="G40" s="1"/>
      <c r="H40" s="1"/>
      <c r="I40" s="1"/>
      <c r="J40" s="8"/>
      <c r="K40" s="7"/>
      <c r="L40" s="1"/>
      <c r="O40" s="1"/>
      <c r="R40" s="1"/>
    </row>
    <row r="41" spans="7:18" x14ac:dyDescent="0.25">
      <c r="G41" s="1"/>
      <c r="H41" s="1"/>
      <c r="I41" s="1"/>
      <c r="J41" s="8"/>
      <c r="K41" s="7"/>
      <c r="L41" s="1"/>
      <c r="O41" s="1"/>
      <c r="R41" s="1"/>
    </row>
    <row r="42" spans="7:18" x14ac:dyDescent="0.25">
      <c r="G42" s="1"/>
      <c r="H42" s="1"/>
      <c r="I42" s="1"/>
      <c r="J42" s="8"/>
      <c r="K42" s="7"/>
      <c r="L42" s="1"/>
      <c r="O42" s="1"/>
      <c r="R42" s="1"/>
    </row>
    <row r="43" spans="7:18" x14ac:dyDescent="0.25">
      <c r="G43" s="1"/>
      <c r="H43" s="1"/>
      <c r="I43" s="1"/>
      <c r="J43" s="8"/>
      <c r="K43" s="7"/>
      <c r="L43" s="1"/>
      <c r="O43" s="1"/>
      <c r="R43" s="1"/>
    </row>
    <row r="44" spans="7:18" x14ac:dyDescent="0.25">
      <c r="G44" s="1"/>
      <c r="H44" s="1"/>
      <c r="I44" s="1"/>
      <c r="J44" s="8"/>
      <c r="K44" s="7"/>
      <c r="L44" s="1"/>
      <c r="O44" s="1"/>
      <c r="R44" s="1"/>
    </row>
    <row r="45" spans="7:18" x14ac:dyDescent="0.25">
      <c r="G45" s="1"/>
      <c r="H45" s="1"/>
      <c r="I45" s="1"/>
      <c r="J45" s="8"/>
      <c r="K45" s="7"/>
      <c r="L45" s="1"/>
      <c r="O45" s="1"/>
      <c r="R45" s="1"/>
    </row>
    <row r="46" spans="7:18" x14ac:dyDescent="0.25">
      <c r="G46" s="1"/>
      <c r="H46" s="1"/>
      <c r="I46" s="1"/>
      <c r="J46" s="8"/>
      <c r="K46" s="7"/>
      <c r="L46" s="1"/>
      <c r="O46" s="1"/>
      <c r="R46" s="1"/>
    </row>
    <row r="47" spans="7:18" x14ac:dyDescent="0.25">
      <c r="G47" s="1"/>
      <c r="H47" s="1"/>
      <c r="I47" s="1"/>
      <c r="J47" s="8"/>
      <c r="K47" s="7"/>
      <c r="L47" s="1"/>
      <c r="O47" s="1"/>
      <c r="R47" s="1"/>
    </row>
    <row r="48" spans="7:18" x14ac:dyDescent="0.25">
      <c r="G48" s="1"/>
      <c r="H48" s="1"/>
      <c r="I48" s="1"/>
      <c r="J48" s="8"/>
      <c r="K48" s="7"/>
      <c r="L48" s="1"/>
      <c r="O48" s="1"/>
      <c r="R48" s="1"/>
    </row>
    <row r="49" spans="7:18" x14ac:dyDescent="0.25">
      <c r="G49" s="1"/>
      <c r="H49" s="1"/>
      <c r="I49" s="1"/>
      <c r="J49" s="8"/>
      <c r="K49" s="7"/>
      <c r="L49" s="1"/>
      <c r="O49" s="1"/>
      <c r="R49" s="1"/>
    </row>
    <row r="50" spans="7:18" x14ac:dyDescent="0.25">
      <c r="G50" s="1"/>
      <c r="H50" s="1"/>
      <c r="I50" s="1"/>
      <c r="J50" s="8"/>
      <c r="K50" s="7"/>
      <c r="L50" s="1"/>
      <c r="O50" s="1"/>
      <c r="R50" s="1"/>
    </row>
    <row r="51" spans="7:18" x14ac:dyDescent="0.25">
      <c r="G51" s="1"/>
      <c r="H51" s="1"/>
      <c r="I51" s="1"/>
      <c r="J51" s="8"/>
      <c r="K51" s="7"/>
      <c r="L51" s="1"/>
      <c r="O51" s="1"/>
      <c r="R51" s="1"/>
    </row>
    <row r="52" spans="7:18" x14ac:dyDescent="0.25">
      <c r="G52" s="1"/>
      <c r="H52" s="1"/>
      <c r="I52" s="1"/>
      <c r="J52" s="8"/>
      <c r="K52" s="7"/>
      <c r="L52" s="1"/>
      <c r="O52" s="1"/>
      <c r="R52" s="1"/>
    </row>
    <row r="53" spans="7:18" x14ac:dyDescent="0.25">
      <c r="G53" s="1"/>
      <c r="H53" s="1"/>
      <c r="I53" s="1"/>
      <c r="J53" s="8"/>
      <c r="K53" s="7"/>
      <c r="L53" s="1"/>
      <c r="O53" s="1"/>
      <c r="R53" s="1"/>
    </row>
    <row r="54" spans="7:18" x14ac:dyDescent="0.25">
      <c r="G54" s="1"/>
      <c r="H54" s="1"/>
      <c r="I54" s="1"/>
      <c r="J54" s="8"/>
      <c r="K54" s="7"/>
      <c r="L54" s="1"/>
      <c r="O54" s="1"/>
      <c r="R54" s="1"/>
    </row>
    <row r="55" spans="7:18" x14ac:dyDescent="0.25">
      <c r="G55" s="1"/>
      <c r="H55" s="1"/>
      <c r="I55" s="1"/>
      <c r="J55" s="8"/>
      <c r="K55" s="7"/>
      <c r="L55" s="1"/>
      <c r="O55" s="1"/>
      <c r="R55" s="1"/>
    </row>
    <row r="56" spans="7:18" x14ac:dyDescent="0.25">
      <c r="G56" s="1"/>
      <c r="H56" s="1"/>
      <c r="I56" s="1"/>
      <c r="J56" s="8"/>
      <c r="K56" s="7"/>
      <c r="L56" s="1"/>
      <c r="O56" s="1"/>
      <c r="R56" s="1"/>
    </row>
    <row r="57" spans="7:18" x14ac:dyDescent="0.25">
      <c r="G57" s="1"/>
      <c r="H57" s="1"/>
      <c r="I57" s="1"/>
      <c r="J57" s="8"/>
      <c r="K57" s="7"/>
      <c r="L57" s="1"/>
      <c r="O57" s="1"/>
      <c r="R57" s="1"/>
    </row>
    <row r="58" spans="7:18" x14ac:dyDescent="0.25">
      <c r="G58" s="1"/>
      <c r="H58" s="1"/>
      <c r="I58" s="1"/>
      <c r="J58" s="8"/>
      <c r="K58" s="7"/>
      <c r="L58" s="1"/>
      <c r="O58" s="1"/>
      <c r="R58" s="1"/>
    </row>
    <row r="59" spans="7:18" x14ac:dyDescent="0.25">
      <c r="G59" s="1"/>
      <c r="H59" s="1"/>
      <c r="I59" s="1"/>
      <c r="J59" s="8"/>
      <c r="K59" s="7"/>
      <c r="L59" s="1"/>
      <c r="O59" s="1"/>
      <c r="R59" s="1"/>
    </row>
    <row r="60" spans="7:18" x14ac:dyDescent="0.25">
      <c r="G60" s="1"/>
      <c r="H60" s="1"/>
      <c r="I60" s="1"/>
      <c r="J60" s="8"/>
      <c r="K60" s="7"/>
      <c r="L60" s="1"/>
      <c r="O60" s="1"/>
      <c r="R60" s="1"/>
    </row>
    <row r="61" spans="7:18" x14ac:dyDescent="0.25">
      <c r="G61" s="1"/>
      <c r="H61" s="1"/>
      <c r="I61" s="1"/>
      <c r="J61" s="8"/>
      <c r="K61" s="7"/>
      <c r="L61" s="1"/>
      <c r="O61" s="1"/>
      <c r="R61" s="1"/>
    </row>
    <row r="62" spans="7:18" x14ac:dyDescent="0.25">
      <c r="G62" s="1"/>
      <c r="H62" s="1"/>
      <c r="I62" s="1"/>
      <c r="J62" s="8"/>
      <c r="K62" s="7"/>
      <c r="L62" s="1"/>
      <c r="O62" s="1"/>
      <c r="R62" s="1"/>
    </row>
    <row r="63" spans="7:18" x14ac:dyDescent="0.25">
      <c r="G63" s="1"/>
      <c r="H63" s="1"/>
      <c r="I63" s="1"/>
      <c r="J63" s="8"/>
      <c r="K63" s="7"/>
      <c r="L63" s="1"/>
      <c r="O63" s="1"/>
      <c r="R63" s="1"/>
    </row>
    <row r="64" spans="7:18" x14ac:dyDescent="0.25">
      <c r="G64" s="1"/>
      <c r="H64" s="1"/>
      <c r="I64" s="1"/>
      <c r="J64" s="8"/>
      <c r="K64" s="7"/>
      <c r="L64" s="1"/>
      <c r="O64" s="1"/>
      <c r="R64" s="1"/>
    </row>
    <row r="65" spans="7:18" x14ac:dyDescent="0.25">
      <c r="G65" s="1"/>
      <c r="H65" s="1"/>
      <c r="I65" s="1"/>
      <c r="J65" s="8"/>
      <c r="K65" s="7"/>
      <c r="L65" s="1"/>
      <c r="O65" s="1"/>
      <c r="R65" s="1"/>
    </row>
    <row r="66" spans="7:18" x14ac:dyDescent="0.25">
      <c r="G66" s="1"/>
      <c r="H66" s="1"/>
      <c r="I66" s="1"/>
      <c r="J66" s="8"/>
      <c r="K66" s="7"/>
      <c r="L66" s="1"/>
      <c r="O66" s="1"/>
      <c r="R66" s="1"/>
    </row>
    <row r="67" spans="7:18" x14ac:dyDescent="0.25">
      <c r="G67" s="1"/>
      <c r="H67" s="1"/>
      <c r="I67" s="1"/>
      <c r="J67" s="8"/>
      <c r="K67" s="7"/>
      <c r="L67" s="1"/>
      <c r="O67" s="1"/>
      <c r="R67" s="1"/>
    </row>
    <row r="68" spans="7:18" x14ac:dyDescent="0.25">
      <c r="G68" s="1"/>
      <c r="H68" s="1"/>
      <c r="I68" s="1"/>
      <c r="J68" s="8"/>
      <c r="K68" s="7"/>
      <c r="L68" s="1"/>
      <c r="O68" s="1"/>
      <c r="R68" s="1"/>
    </row>
    <row r="69" spans="7:18" x14ac:dyDescent="0.25">
      <c r="G69" s="1"/>
      <c r="H69" s="1"/>
      <c r="I69" s="1"/>
      <c r="J69" s="8"/>
      <c r="K69" s="7"/>
      <c r="L69" s="1"/>
      <c r="O69" s="1"/>
      <c r="R69" s="1"/>
    </row>
    <row r="70" spans="7:18" x14ac:dyDescent="0.25">
      <c r="G70" s="1"/>
      <c r="H70" s="1"/>
      <c r="I70" s="1"/>
      <c r="J70" s="8"/>
      <c r="K70" s="7"/>
      <c r="L70" s="1"/>
      <c r="O70" s="1"/>
      <c r="R70" s="1"/>
    </row>
    <row r="71" spans="7:18" x14ac:dyDescent="0.25">
      <c r="G71" s="1"/>
      <c r="H71" s="1"/>
      <c r="I71" s="1"/>
      <c r="J71" s="8"/>
      <c r="K71" s="7"/>
      <c r="L71" s="1"/>
      <c r="O71" s="1"/>
      <c r="R71" s="1"/>
    </row>
    <row r="72" spans="7:18" x14ac:dyDescent="0.25">
      <c r="G72" s="1"/>
      <c r="H72" s="1"/>
      <c r="I72" s="1"/>
      <c r="J72" s="8"/>
      <c r="K72" s="7"/>
      <c r="L72" s="1"/>
      <c r="O72" s="1"/>
      <c r="R72" s="1"/>
    </row>
    <row r="73" spans="7:18" x14ac:dyDescent="0.25">
      <c r="G73" s="1"/>
      <c r="H73" s="1"/>
      <c r="I73" s="1"/>
      <c r="J73" s="8"/>
      <c r="K73" s="7"/>
      <c r="L73" s="1"/>
      <c r="O73" s="1"/>
      <c r="R73" s="1"/>
    </row>
    <row r="74" spans="7:18" x14ac:dyDescent="0.25">
      <c r="G74" s="1"/>
      <c r="H74" s="1"/>
      <c r="I74" s="1"/>
      <c r="J74" s="8"/>
      <c r="K74" s="7"/>
      <c r="L74" s="1"/>
      <c r="O74" s="1"/>
      <c r="R74" s="1"/>
    </row>
    <row r="75" spans="7:18" x14ac:dyDescent="0.25">
      <c r="G75" s="1"/>
      <c r="H75" s="1"/>
      <c r="I75" s="1"/>
      <c r="J75" s="8"/>
      <c r="K75" s="7"/>
      <c r="L75" s="1"/>
      <c r="O75" s="1"/>
      <c r="R75" s="1"/>
    </row>
    <row r="76" spans="7:18" x14ac:dyDescent="0.25">
      <c r="G76" s="1"/>
      <c r="H76" s="1"/>
      <c r="I76" s="1"/>
      <c r="J76" s="8"/>
      <c r="K76" s="7"/>
      <c r="L76" s="1"/>
      <c r="O76" s="1"/>
      <c r="R76" s="1"/>
    </row>
    <row r="77" spans="7:18" x14ac:dyDescent="0.25">
      <c r="G77" s="1"/>
      <c r="H77" s="1"/>
      <c r="I77" s="1"/>
      <c r="J77" s="8"/>
      <c r="K77" s="7"/>
      <c r="L77" s="1"/>
      <c r="O77" s="1"/>
      <c r="R77" s="1"/>
    </row>
    <row r="78" spans="7:18" x14ac:dyDescent="0.25">
      <c r="G78" s="1"/>
      <c r="H78" s="1"/>
      <c r="I78" s="1"/>
      <c r="J78" s="8"/>
      <c r="K78" s="7"/>
      <c r="L78" s="1"/>
      <c r="O78" s="1"/>
      <c r="R78" s="1"/>
    </row>
    <row r="79" spans="7:18" x14ac:dyDescent="0.25">
      <c r="G79" s="1"/>
      <c r="H79" s="1"/>
      <c r="I79" s="1"/>
      <c r="J79" s="8"/>
      <c r="K79" s="7"/>
      <c r="L79" s="1"/>
      <c r="O79" s="1"/>
      <c r="R79" s="1"/>
    </row>
    <row r="80" spans="7:18" x14ac:dyDescent="0.25">
      <c r="G80" s="1"/>
      <c r="H80" s="1"/>
      <c r="I80" s="1"/>
      <c r="J80" s="8"/>
      <c r="K80" s="7"/>
      <c r="L80" s="1"/>
      <c r="O80" s="1"/>
      <c r="R80" s="1"/>
    </row>
    <row r="81" spans="7:18" x14ac:dyDescent="0.25">
      <c r="G81" s="1"/>
      <c r="H81" s="1"/>
      <c r="I81" s="1"/>
      <c r="J81" s="8"/>
      <c r="K81" s="7"/>
      <c r="L81" s="1"/>
      <c r="O81" s="1"/>
      <c r="R81" s="1"/>
    </row>
    <row r="82" spans="7:18" x14ac:dyDescent="0.25">
      <c r="G82" s="1"/>
      <c r="H82" s="1"/>
      <c r="I82" s="1"/>
      <c r="J82" s="8"/>
      <c r="K82" s="7"/>
      <c r="L82" s="1"/>
      <c r="O82" s="1"/>
      <c r="R82" s="1"/>
    </row>
    <row r="83" spans="7:18" x14ac:dyDescent="0.25">
      <c r="G83" s="1"/>
      <c r="H83" s="1"/>
      <c r="I83" s="1"/>
      <c r="J83" s="8"/>
      <c r="K83" s="7"/>
      <c r="L83" s="1"/>
      <c r="O83" s="1"/>
      <c r="R83" s="1"/>
    </row>
    <row r="84" spans="7:18" x14ac:dyDescent="0.25">
      <c r="G84" s="1"/>
      <c r="H84" s="1"/>
      <c r="I84" s="1"/>
      <c r="J84" s="8"/>
      <c r="K84" s="7"/>
      <c r="L84" s="1"/>
      <c r="O84" s="1"/>
      <c r="R84" s="1"/>
    </row>
    <row r="85" spans="7:18" x14ac:dyDescent="0.25">
      <c r="G85" s="1"/>
      <c r="H85" s="1"/>
      <c r="I85" s="1"/>
      <c r="J85" s="8"/>
      <c r="K85" s="7"/>
      <c r="L85" s="1"/>
      <c r="O85" s="1"/>
      <c r="R85" s="1"/>
    </row>
    <row r="86" spans="7:18" x14ac:dyDescent="0.25">
      <c r="G86" s="1"/>
      <c r="H86" s="1"/>
      <c r="I86" s="1"/>
      <c r="J86" s="8"/>
      <c r="K86" s="7"/>
      <c r="L86" s="1"/>
      <c r="O86" s="1"/>
      <c r="R86" s="1"/>
    </row>
    <row r="87" spans="7:18" x14ac:dyDescent="0.25">
      <c r="G87" s="1"/>
      <c r="H87" s="1"/>
      <c r="I87" s="1"/>
      <c r="J87" s="8"/>
      <c r="K87" s="7"/>
      <c r="L87" s="1"/>
      <c r="O87" s="1"/>
      <c r="R87" s="1"/>
    </row>
    <row r="88" spans="7:18" x14ac:dyDescent="0.25">
      <c r="G88" s="1"/>
      <c r="H88" s="1"/>
      <c r="I88" s="1"/>
      <c r="J88" s="8"/>
      <c r="K88" s="7"/>
      <c r="L88" s="1"/>
      <c r="O88" s="1"/>
      <c r="R88" s="1"/>
    </row>
    <row r="89" spans="7:18" x14ac:dyDescent="0.25">
      <c r="G89" s="1"/>
      <c r="H89" s="1"/>
      <c r="I89" s="1"/>
      <c r="J89" s="8"/>
      <c r="K89" s="7"/>
      <c r="L89" s="1"/>
      <c r="O89" s="1"/>
      <c r="R89" s="1"/>
    </row>
    <row r="90" spans="7:18" x14ac:dyDescent="0.25">
      <c r="G90" s="1"/>
      <c r="H90" s="1"/>
      <c r="I90" s="1"/>
      <c r="J90" s="8"/>
      <c r="K90" s="7"/>
      <c r="L90" s="1"/>
      <c r="O90" s="1"/>
      <c r="R90" s="1"/>
    </row>
    <row r="91" spans="7:18" x14ac:dyDescent="0.25">
      <c r="G91" s="1"/>
      <c r="H91" s="1"/>
      <c r="I91" s="1"/>
      <c r="J91" s="8"/>
      <c r="K91" s="7"/>
      <c r="L91" s="1"/>
      <c r="O91" s="1"/>
      <c r="R91" s="1"/>
    </row>
    <row r="92" spans="7:18" x14ac:dyDescent="0.25">
      <c r="G92" s="1"/>
      <c r="H92" s="1"/>
      <c r="I92" s="1"/>
      <c r="J92" s="8"/>
      <c r="K92" s="7"/>
      <c r="L92" s="1"/>
      <c r="O92" s="1"/>
      <c r="R92" s="1"/>
    </row>
    <row r="93" spans="7:18" x14ac:dyDescent="0.25">
      <c r="G93" s="1"/>
      <c r="H93" s="1"/>
      <c r="I93" s="1"/>
      <c r="J93" s="8"/>
      <c r="K93" s="7"/>
      <c r="L93" s="1"/>
      <c r="O93" s="1"/>
      <c r="R93" s="1"/>
    </row>
    <row r="94" spans="7:18" x14ac:dyDescent="0.25">
      <c r="G94" s="1"/>
      <c r="H94" s="1"/>
      <c r="I94" s="1"/>
      <c r="J94" s="8"/>
      <c r="K94" s="7"/>
      <c r="L94" s="1"/>
      <c r="O94" s="1"/>
      <c r="R94" s="1"/>
    </row>
    <row r="95" spans="7:18" x14ac:dyDescent="0.25">
      <c r="G95" s="1"/>
      <c r="H95" s="1"/>
      <c r="I95" s="1"/>
      <c r="J95" s="8"/>
      <c r="K95" s="7"/>
      <c r="L95" s="1"/>
      <c r="O95" s="1"/>
      <c r="R95" s="1"/>
    </row>
    <row r="96" spans="7:18" x14ac:dyDescent="0.25">
      <c r="G96" s="1"/>
      <c r="H96" s="1"/>
      <c r="I96" s="1"/>
      <c r="J96" s="8"/>
      <c r="K96" s="7"/>
      <c r="L96" s="1"/>
      <c r="O96" s="1"/>
      <c r="R96" s="1"/>
    </row>
    <row r="97" spans="7:18" x14ac:dyDescent="0.25">
      <c r="G97" s="1"/>
      <c r="H97" s="1"/>
      <c r="I97" s="1"/>
      <c r="J97" s="8"/>
      <c r="K97" s="7"/>
      <c r="L97" s="1"/>
      <c r="O97" s="1"/>
      <c r="R97" s="1"/>
    </row>
    <row r="98" spans="7:18" x14ac:dyDescent="0.25">
      <c r="G98" s="1"/>
      <c r="H98" s="1"/>
      <c r="I98" s="1"/>
      <c r="J98" s="8"/>
      <c r="K98" s="7"/>
      <c r="L98" s="1"/>
      <c r="O98" s="1"/>
      <c r="R98" s="1"/>
    </row>
    <row r="99" spans="7:18" x14ac:dyDescent="0.25">
      <c r="G99" s="1"/>
      <c r="H99" s="1"/>
      <c r="I99" s="1"/>
      <c r="J99" s="8"/>
      <c r="K99" s="7"/>
      <c r="L99" s="1"/>
      <c r="O99" s="1"/>
      <c r="R99" s="1"/>
    </row>
    <row r="100" spans="7:18" x14ac:dyDescent="0.25">
      <c r="G100" s="1"/>
      <c r="H100" s="1"/>
      <c r="I100" s="1"/>
      <c r="J100" s="8"/>
      <c r="K100" s="7"/>
      <c r="L100" s="1"/>
      <c r="O100" s="1"/>
      <c r="R100" s="1"/>
    </row>
    <row r="101" spans="7:18" x14ac:dyDescent="0.25">
      <c r="G101" s="1"/>
      <c r="H101" s="1"/>
      <c r="I101" s="1"/>
      <c r="J101" s="8"/>
      <c r="K101" s="7"/>
      <c r="L101" s="1"/>
      <c r="O101" s="1"/>
      <c r="R101" s="1"/>
    </row>
    <row r="102" spans="7:18" x14ac:dyDescent="0.25">
      <c r="G102" s="1"/>
      <c r="H102" s="1"/>
      <c r="I102" s="1"/>
      <c r="J102" s="8"/>
      <c r="K102" s="7"/>
      <c r="L102" s="1"/>
      <c r="O102" s="1"/>
      <c r="R102" s="1"/>
    </row>
    <row r="103" spans="7:18" x14ac:dyDescent="0.25">
      <c r="G103" s="1"/>
      <c r="H103" s="1"/>
      <c r="I103" s="1"/>
      <c r="J103" s="8"/>
      <c r="K103" s="7"/>
      <c r="L103" s="1"/>
      <c r="O103" s="1"/>
      <c r="R103" s="1"/>
    </row>
    <row r="104" spans="7:18" x14ac:dyDescent="0.25">
      <c r="G104" s="1"/>
      <c r="H104" s="1"/>
      <c r="I104" s="1"/>
      <c r="J104" s="8"/>
      <c r="K104" s="7"/>
      <c r="L104" s="1"/>
      <c r="O104" s="1"/>
      <c r="R104" s="1"/>
    </row>
    <row r="105" spans="7:18" x14ac:dyDescent="0.25">
      <c r="G105" s="1"/>
      <c r="H105" s="1"/>
      <c r="I105" s="1"/>
      <c r="J105" s="8"/>
      <c r="K105" s="7"/>
      <c r="L105" s="1"/>
      <c r="O105" s="1"/>
      <c r="R105" s="1"/>
    </row>
    <row r="106" spans="7:18" x14ac:dyDescent="0.25">
      <c r="G106" s="1"/>
      <c r="H106" s="1"/>
      <c r="I106" s="1"/>
      <c r="J106" s="8"/>
      <c r="K106" s="7"/>
      <c r="L106" s="1"/>
      <c r="O106" s="1"/>
      <c r="R106" s="1"/>
    </row>
    <row r="107" spans="7:18" x14ac:dyDescent="0.25">
      <c r="G107" s="1"/>
      <c r="H107" s="1"/>
      <c r="I107" s="1"/>
      <c r="J107" s="8"/>
      <c r="K107" s="7"/>
      <c r="L107" s="1"/>
      <c r="O107" s="1"/>
      <c r="R107" s="1"/>
    </row>
    <row r="108" spans="7:18" x14ac:dyDescent="0.25">
      <c r="G108" s="1"/>
      <c r="H108" s="1"/>
      <c r="I108" s="1"/>
      <c r="J108" s="8"/>
      <c r="K108" s="7"/>
      <c r="L108" s="1"/>
      <c r="O108" s="1"/>
      <c r="R108" s="1"/>
    </row>
    <row r="109" spans="7:18" x14ac:dyDescent="0.25">
      <c r="G109" s="1"/>
      <c r="H109" s="1"/>
      <c r="I109" s="1"/>
      <c r="J109" s="8"/>
      <c r="K109" s="7"/>
      <c r="L109" s="1"/>
      <c r="O109" s="1"/>
      <c r="R109" s="1"/>
    </row>
    <row r="110" spans="7:18" x14ac:dyDescent="0.25">
      <c r="G110" s="1"/>
      <c r="H110" s="1"/>
      <c r="I110" s="1"/>
      <c r="J110" s="8"/>
      <c r="K110" s="7"/>
      <c r="L110" s="1"/>
      <c r="O110" s="1"/>
      <c r="R110" s="1"/>
    </row>
    <row r="111" spans="7:18" x14ac:dyDescent="0.25">
      <c r="G111" s="1"/>
      <c r="H111" s="1"/>
      <c r="I111" s="1"/>
      <c r="J111" s="8"/>
      <c r="K111" s="7"/>
      <c r="L111" s="1"/>
      <c r="O111" s="1"/>
      <c r="R111" s="1"/>
    </row>
    <row r="112" spans="7:18" x14ac:dyDescent="0.25">
      <c r="G112" s="1"/>
      <c r="H112" s="1"/>
      <c r="I112" s="1"/>
      <c r="J112" s="8"/>
      <c r="K112" s="7"/>
      <c r="L112" s="1"/>
      <c r="O112" s="1"/>
      <c r="R112" s="1"/>
    </row>
    <row r="113" spans="7:18" x14ac:dyDescent="0.25">
      <c r="G113" s="1"/>
      <c r="H113" s="1"/>
      <c r="I113" s="1"/>
      <c r="J113" s="8"/>
      <c r="K113" s="7"/>
      <c r="L113" s="1"/>
      <c r="O113" s="1"/>
      <c r="R113" s="1"/>
    </row>
    <row r="114" spans="7:18" x14ac:dyDescent="0.25">
      <c r="G114" s="1"/>
      <c r="H114" s="1"/>
      <c r="I114" s="1"/>
      <c r="J114" s="8"/>
      <c r="K114" s="7"/>
      <c r="L114" s="1"/>
      <c r="O114" s="1"/>
      <c r="R114" s="1"/>
    </row>
    <row r="115" spans="7:18" x14ac:dyDescent="0.25">
      <c r="G115" s="1"/>
      <c r="H115" s="1"/>
      <c r="I115" s="1"/>
      <c r="J115" s="8"/>
      <c r="K115" s="7"/>
      <c r="L115" s="1"/>
      <c r="O115" s="1"/>
      <c r="R115" s="1"/>
    </row>
    <row r="116" spans="7:18" x14ac:dyDescent="0.25">
      <c r="G116" s="1"/>
      <c r="H116" s="1"/>
      <c r="I116" s="1"/>
      <c r="J116" s="8"/>
      <c r="K116" s="7"/>
      <c r="L116" s="1"/>
      <c r="O116" s="1"/>
      <c r="R116" s="1"/>
    </row>
    <row r="117" spans="7:18" x14ac:dyDescent="0.25">
      <c r="G117" s="1"/>
      <c r="H117" s="1"/>
      <c r="I117" s="1"/>
      <c r="J117" s="8"/>
      <c r="K117" s="7"/>
      <c r="L117" s="1"/>
      <c r="O117" s="1"/>
      <c r="R117" s="1"/>
    </row>
    <row r="118" spans="7:18" x14ac:dyDescent="0.25">
      <c r="G118" s="1"/>
      <c r="H118" s="1"/>
      <c r="I118" s="1"/>
      <c r="J118" s="8"/>
      <c r="K118" s="7"/>
      <c r="L118" s="1"/>
      <c r="O118" s="1"/>
      <c r="R118" s="1"/>
    </row>
    <row r="119" spans="7:18" x14ac:dyDescent="0.25">
      <c r="G119" s="1"/>
      <c r="H119" s="1"/>
      <c r="I119" s="1"/>
      <c r="J119" s="8"/>
      <c r="K119" s="7"/>
      <c r="L119" s="1"/>
      <c r="O119" s="1"/>
      <c r="R119" s="1"/>
    </row>
    <row r="120" spans="7:18" x14ac:dyDescent="0.25">
      <c r="G120" s="1"/>
      <c r="H120" s="1"/>
      <c r="I120" s="1"/>
      <c r="J120" s="8"/>
      <c r="K120" s="7"/>
      <c r="L120" s="1"/>
      <c r="O120" s="1"/>
      <c r="R120" s="1"/>
    </row>
    <row r="121" spans="7:18" x14ac:dyDescent="0.25">
      <c r="G121" s="1"/>
      <c r="H121" s="1"/>
      <c r="I121" s="1"/>
      <c r="J121" s="8"/>
      <c r="K121" s="7"/>
      <c r="L121" s="1"/>
      <c r="O121" s="1"/>
      <c r="R121" s="1"/>
    </row>
    <row r="122" spans="7:18" x14ac:dyDescent="0.25">
      <c r="G122" s="1"/>
      <c r="H122" s="1"/>
      <c r="I122" s="1"/>
      <c r="J122" s="8"/>
      <c r="K122" s="7"/>
      <c r="L122" s="1"/>
      <c r="O122" s="1"/>
      <c r="R122" s="1"/>
    </row>
    <row r="123" spans="7:18" x14ac:dyDescent="0.25">
      <c r="G123" s="1"/>
      <c r="H123" s="1"/>
      <c r="I123" s="1"/>
      <c r="J123" s="8"/>
      <c r="K123" s="7"/>
      <c r="L123" s="1"/>
      <c r="O123" s="1"/>
      <c r="R123" s="1"/>
    </row>
    <row r="124" spans="7:18" x14ac:dyDescent="0.25">
      <c r="G124" s="1"/>
      <c r="H124" s="1"/>
      <c r="I124" s="1"/>
      <c r="J124" s="8"/>
      <c r="K124" s="7"/>
      <c r="L124" s="1"/>
      <c r="O124" s="1"/>
      <c r="R124" s="1"/>
    </row>
    <row r="125" spans="7:18" x14ac:dyDescent="0.25">
      <c r="G125" s="1"/>
      <c r="H125" s="1"/>
      <c r="I125" s="1"/>
      <c r="J125" s="8"/>
      <c r="K125" s="7"/>
      <c r="L125" s="1"/>
      <c r="O125" s="1"/>
      <c r="R125" s="1"/>
    </row>
    <row r="126" spans="7:18" x14ac:dyDescent="0.25">
      <c r="G126" s="1"/>
      <c r="H126" s="1"/>
      <c r="I126" s="1"/>
      <c r="J126" s="8"/>
      <c r="K126" s="7"/>
      <c r="L126" s="1"/>
      <c r="O126" s="1"/>
      <c r="R126" s="1"/>
    </row>
    <row r="127" spans="7:18" x14ac:dyDescent="0.25">
      <c r="G127" s="1"/>
      <c r="H127" s="1"/>
      <c r="I127" s="1"/>
      <c r="J127" s="8"/>
      <c r="K127" s="7"/>
      <c r="L127" s="1"/>
      <c r="O127" s="1"/>
      <c r="R127" s="1"/>
    </row>
    <row r="128" spans="7:18" x14ac:dyDescent="0.25">
      <c r="G128" s="1"/>
      <c r="H128" s="1"/>
      <c r="I128" s="1"/>
      <c r="J128" s="8"/>
      <c r="K128" s="7"/>
      <c r="L128" s="1"/>
      <c r="O128" s="1"/>
      <c r="R128" s="1"/>
    </row>
    <row r="129" spans="7:18" x14ac:dyDescent="0.25">
      <c r="G129" s="1"/>
      <c r="H129" s="1"/>
      <c r="I129" s="1"/>
      <c r="J129" s="8"/>
      <c r="K129" s="7"/>
      <c r="L129" s="1"/>
      <c r="O129" s="1"/>
      <c r="R129" s="1"/>
    </row>
    <row r="130" spans="7:18" x14ac:dyDescent="0.25">
      <c r="G130" s="1"/>
      <c r="H130" s="1"/>
      <c r="I130" s="1"/>
      <c r="J130" s="8"/>
      <c r="K130" s="7"/>
      <c r="L130" s="1"/>
      <c r="O130" s="1"/>
      <c r="R130" s="1"/>
    </row>
    <row r="131" spans="7:18" x14ac:dyDescent="0.25">
      <c r="G131" s="1"/>
      <c r="H131" s="1"/>
      <c r="I131" s="1"/>
      <c r="J131" s="8"/>
      <c r="K131" s="7"/>
      <c r="L131" s="1"/>
      <c r="O131" s="1"/>
      <c r="R131" s="1"/>
    </row>
    <row r="132" spans="7:18" x14ac:dyDescent="0.25">
      <c r="G132" s="1"/>
      <c r="H132" s="1"/>
      <c r="I132" s="1"/>
      <c r="J132" s="8"/>
      <c r="K132" s="7"/>
      <c r="L132" s="1"/>
      <c r="O132" s="1"/>
      <c r="R132" s="1"/>
    </row>
    <row r="133" spans="7:18" x14ac:dyDescent="0.25">
      <c r="G133" s="1"/>
      <c r="H133" s="1"/>
      <c r="I133" s="1"/>
      <c r="J133" s="8"/>
      <c r="K133" s="7"/>
      <c r="L133" s="1"/>
      <c r="O133" s="1"/>
      <c r="R133" s="1"/>
    </row>
    <row r="134" spans="7:18" x14ac:dyDescent="0.25">
      <c r="G134" s="1"/>
      <c r="H134" s="1"/>
      <c r="I134" s="1"/>
      <c r="J134" s="8"/>
      <c r="K134" s="7"/>
      <c r="L134" s="1"/>
      <c r="O134" s="1"/>
      <c r="R134" s="1"/>
    </row>
    <row r="135" spans="7:18" x14ac:dyDescent="0.25">
      <c r="G135" s="1"/>
      <c r="H135" s="1"/>
      <c r="I135" s="1"/>
      <c r="J135" s="8"/>
      <c r="K135" s="7"/>
      <c r="L135" s="1"/>
      <c r="O135" s="1"/>
      <c r="R135" s="1"/>
    </row>
    <row r="136" spans="7:18" x14ac:dyDescent="0.25">
      <c r="G136" s="1"/>
      <c r="H136" s="1"/>
      <c r="I136" s="1"/>
      <c r="J136" s="8"/>
      <c r="K136" s="7"/>
      <c r="L136" s="1"/>
      <c r="O136" s="1"/>
      <c r="R136" s="1"/>
    </row>
    <row r="137" spans="7:18" x14ac:dyDescent="0.25">
      <c r="G137" s="1"/>
      <c r="H137" s="1"/>
      <c r="I137" s="1"/>
      <c r="J137" s="8"/>
      <c r="K137" s="7"/>
      <c r="L137" s="1"/>
      <c r="O137" s="1"/>
      <c r="R137" s="1"/>
    </row>
    <row r="138" spans="7:18" x14ac:dyDescent="0.25">
      <c r="G138" s="1"/>
      <c r="H138" s="1"/>
      <c r="I138" s="1"/>
      <c r="J138" s="8"/>
      <c r="K138" s="7"/>
      <c r="L138" s="1"/>
      <c r="O138" s="1"/>
      <c r="R138" s="1"/>
    </row>
    <row r="139" spans="7:18" x14ac:dyDescent="0.25">
      <c r="G139" s="1"/>
      <c r="H139" s="1"/>
      <c r="I139" s="1"/>
      <c r="J139" s="8"/>
      <c r="K139" s="7"/>
      <c r="L139" s="1"/>
      <c r="O139" s="1"/>
      <c r="R139" s="1"/>
    </row>
    <row r="140" spans="7:18" x14ac:dyDescent="0.25">
      <c r="G140" s="1"/>
      <c r="H140" s="1"/>
      <c r="I140" s="1"/>
      <c r="J140" s="8"/>
      <c r="K140" s="7"/>
      <c r="L140" s="1"/>
      <c r="O140" s="1"/>
      <c r="R140" s="1"/>
    </row>
    <row r="141" spans="7:18" x14ac:dyDescent="0.25">
      <c r="G141" s="1"/>
      <c r="H141" s="1"/>
      <c r="I141" s="1"/>
      <c r="J141" s="8"/>
      <c r="K141" s="7"/>
      <c r="L141" s="1"/>
      <c r="O141" s="1"/>
      <c r="R141" s="1"/>
    </row>
    <row r="142" spans="7:18" x14ac:dyDescent="0.25">
      <c r="G142" s="1"/>
      <c r="H142" s="1"/>
      <c r="I142" s="1"/>
      <c r="J142" s="8"/>
      <c r="K142" s="7"/>
      <c r="L142" s="1"/>
      <c r="O142" s="1"/>
      <c r="R142" s="1"/>
    </row>
    <row r="143" spans="7:18" x14ac:dyDescent="0.25">
      <c r="G143" s="1"/>
      <c r="H143" s="1"/>
      <c r="I143" s="1"/>
      <c r="J143" s="8"/>
      <c r="K143" s="7"/>
      <c r="L143" s="1"/>
      <c r="O143" s="1"/>
      <c r="R143" s="1"/>
    </row>
    <row r="144" spans="7:18" x14ac:dyDescent="0.25">
      <c r="G144" s="1"/>
      <c r="H144" s="1"/>
      <c r="I144" s="1"/>
      <c r="J144" s="8"/>
      <c r="K144" s="7"/>
      <c r="L144" s="1"/>
      <c r="O144" s="1"/>
      <c r="R144" s="1"/>
    </row>
    <row r="145" spans="7:18" x14ac:dyDescent="0.25">
      <c r="G145" s="1"/>
      <c r="H145" s="1"/>
      <c r="I145" s="1"/>
      <c r="J145" s="8"/>
      <c r="K145" s="7"/>
      <c r="L145" s="1"/>
      <c r="O145" s="1"/>
      <c r="R145" s="1"/>
    </row>
    <row r="146" spans="7:18" x14ac:dyDescent="0.25">
      <c r="G146" s="1"/>
      <c r="H146" s="1"/>
      <c r="I146" s="1"/>
      <c r="J146" s="8"/>
      <c r="K146" s="7"/>
      <c r="L146" s="1"/>
      <c r="O146" s="1"/>
      <c r="R146" s="1"/>
    </row>
    <row r="147" spans="7:18" x14ac:dyDescent="0.25">
      <c r="G147" s="1"/>
      <c r="H147" s="1"/>
      <c r="I147" s="1"/>
      <c r="J147" s="8"/>
      <c r="K147" s="7"/>
      <c r="L147" s="1"/>
      <c r="O147" s="1"/>
      <c r="R147" s="1"/>
    </row>
    <row r="148" spans="7:18" x14ac:dyDescent="0.25">
      <c r="G148" s="1"/>
      <c r="H148" s="1"/>
      <c r="I148" s="1"/>
      <c r="J148" s="8"/>
      <c r="K148" s="7"/>
      <c r="L148" s="1"/>
      <c r="O148" s="1"/>
      <c r="R148" s="1"/>
    </row>
    <row r="149" spans="7:18" x14ac:dyDescent="0.25">
      <c r="G149" s="1"/>
      <c r="H149" s="1"/>
      <c r="I149" s="1"/>
      <c r="J149" s="8"/>
      <c r="K149" s="7"/>
      <c r="L149" s="1"/>
      <c r="O149" s="1"/>
      <c r="R149" s="1"/>
    </row>
    <row r="150" spans="7:18" x14ac:dyDescent="0.25">
      <c r="G150" s="1"/>
      <c r="H150" s="1"/>
      <c r="I150" s="1"/>
      <c r="J150" s="8"/>
      <c r="K150" s="7"/>
      <c r="L150" s="1"/>
      <c r="O150" s="1"/>
      <c r="R150" s="1"/>
    </row>
    <row r="151" spans="7:18" x14ac:dyDescent="0.25">
      <c r="G151" s="1"/>
      <c r="H151" s="1"/>
      <c r="I151" s="1"/>
      <c r="J151" s="8"/>
      <c r="K151" s="7"/>
      <c r="L151" s="1"/>
      <c r="O151" s="1"/>
      <c r="R151" s="1"/>
    </row>
    <row r="152" spans="7:18" x14ac:dyDescent="0.25">
      <c r="G152" s="1"/>
      <c r="H152" s="1"/>
      <c r="I152" s="1"/>
      <c r="J152" s="8"/>
      <c r="K152" s="7"/>
      <c r="L152" s="1"/>
      <c r="O152" s="1"/>
      <c r="R152" s="1"/>
    </row>
    <row r="153" spans="7:18" x14ac:dyDescent="0.25">
      <c r="G153" s="1"/>
      <c r="H153" s="1"/>
      <c r="I153" s="1"/>
      <c r="J153" s="8"/>
      <c r="K153" s="7"/>
      <c r="L153" s="1"/>
      <c r="O153" s="1"/>
      <c r="R153" s="1"/>
    </row>
    <row r="154" spans="7:18" x14ac:dyDescent="0.25">
      <c r="G154" s="1"/>
      <c r="H154" s="1"/>
      <c r="I154" s="1"/>
      <c r="J154" s="8"/>
      <c r="K154" s="7"/>
      <c r="L154" s="1"/>
      <c r="O154" s="1"/>
      <c r="R154" s="1"/>
    </row>
    <row r="155" spans="7:18" x14ac:dyDescent="0.25">
      <c r="G155" s="1"/>
      <c r="H155" s="1"/>
      <c r="I155" s="1"/>
      <c r="J155" s="8"/>
      <c r="K155" s="7"/>
      <c r="L155" s="1"/>
      <c r="O155" s="1"/>
      <c r="R155" s="1"/>
    </row>
    <row r="156" spans="7:18" x14ac:dyDescent="0.25">
      <c r="G156" s="1"/>
      <c r="H156" s="1"/>
      <c r="I156" s="1"/>
      <c r="J156" s="8"/>
      <c r="K156" s="7"/>
      <c r="L156" s="1"/>
      <c r="O156" s="1"/>
      <c r="R156" s="1"/>
    </row>
    <row r="157" spans="7:18" x14ac:dyDescent="0.25">
      <c r="G157" s="1"/>
      <c r="H157" s="1"/>
      <c r="I157" s="1"/>
      <c r="J157" s="8"/>
      <c r="K157" s="7"/>
      <c r="L157" s="1"/>
      <c r="O157" s="1"/>
      <c r="R157" s="1"/>
    </row>
    <row r="158" spans="7:18" x14ac:dyDescent="0.25">
      <c r="G158" s="1"/>
      <c r="H158" s="1"/>
      <c r="I158" s="1"/>
      <c r="J158" s="8"/>
      <c r="K158" s="7"/>
      <c r="L158" s="1"/>
      <c r="O158" s="1"/>
      <c r="R158" s="1"/>
    </row>
    <row r="159" spans="7:18" x14ac:dyDescent="0.25">
      <c r="G159" s="1"/>
      <c r="H159" s="1"/>
      <c r="I159" s="1"/>
      <c r="J159" s="8"/>
      <c r="K159" s="7"/>
      <c r="L159" s="1"/>
      <c r="O159" s="1"/>
      <c r="R159" s="1"/>
    </row>
    <row r="160" spans="7:18" x14ac:dyDescent="0.25">
      <c r="G160" s="1"/>
      <c r="H160" s="1"/>
      <c r="I160" s="1"/>
      <c r="J160" s="8"/>
      <c r="K160" s="7"/>
      <c r="L160" s="1"/>
      <c r="O160" s="1"/>
      <c r="R160" s="1"/>
    </row>
    <row r="161" spans="7:18" x14ac:dyDescent="0.25">
      <c r="G161" s="1"/>
      <c r="H161" s="1"/>
      <c r="I161" s="1"/>
      <c r="J161" s="8"/>
      <c r="K161" s="7"/>
      <c r="L161" s="1"/>
      <c r="O161" s="1"/>
      <c r="R161" s="1"/>
    </row>
    <row r="162" spans="7:18" x14ac:dyDescent="0.25">
      <c r="G162" s="1"/>
      <c r="H162" s="1"/>
      <c r="I162" s="1"/>
      <c r="J162" s="8"/>
      <c r="K162" s="7"/>
      <c r="L162" s="1"/>
      <c r="O162" s="1"/>
      <c r="R162" s="1"/>
    </row>
    <row r="163" spans="7:18" x14ac:dyDescent="0.25">
      <c r="G163" s="1"/>
      <c r="H163" s="1"/>
      <c r="I163" s="1"/>
      <c r="J163" s="8"/>
      <c r="K163" s="7"/>
      <c r="L163" s="1"/>
      <c r="O163" s="1"/>
      <c r="R163" s="1"/>
    </row>
    <row r="164" spans="7:18" x14ac:dyDescent="0.25">
      <c r="G164" s="1"/>
      <c r="H164" s="1"/>
      <c r="I164" s="1"/>
      <c r="J164" s="8"/>
      <c r="K164" s="7"/>
      <c r="L164" s="1"/>
      <c r="O164" s="1"/>
      <c r="R164" s="1"/>
    </row>
    <row r="165" spans="7:18" x14ac:dyDescent="0.25">
      <c r="G165" s="1"/>
      <c r="H165" s="1"/>
      <c r="I165" s="1"/>
      <c r="J165" s="8"/>
      <c r="K165" s="7"/>
      <c r="L165" s="1"/>
      <c r="O165" s="1"/>
      <c r="R165" s="1"/>
    </row>
    <row r="166" spans="7:18" x14ac:dyDescent="0.25">
      <c r="G166" s="1"/>
      <c r="H166" s="1"/>
      <c r="I166" s="1"/>
      <c r="J166" s="8"/>
      <c r="K166" s="7"/>
      <c r="L166" s="1"/>
      <c r="O166" s="1"/>
      <c r="R166" s="1"/>
    </row>
    <row r="167" spans="7:18" x14ac:dyDescent="0.25">
      <c r="G167" s="1"/>
      <c r="H167" s="1"/>
      <c r="I167" s="1"/>
      <c r="J167" s="8"/>
      <c r="K167" s="7"/>
      <c r="L167" s="1"/>
      <c r="O167" s="1"/>
      <c r="R167" s="1"/>
    </row>
    <row r="168" spans="7:18" x14ac:dyDescent="0.25">
      <c r="G168" s="1"/>
      <c r="H168" s="1"/>
      <c r="I168" s="1"/>
      <c r="J168" s="8"/>
      <c r="K168" s="7"/>
      <c r="L168" s="1"/>
      <c r="O168" s="1"/>
      <c r="R168" s="1"/>
    </row>
    <row r="169" spans="7:18" x14ac:dyDescent="0.25">
      <c r="G169" s="1"/>
      <c r="H169" s="1"/>
      <c r="I169" s="1"/>
      <c r="J169" s="8"/>
      <c r="K169" s="7"/>
      <c r="L169" s="1"/>
      <c r="O169" s="1"/>
      <c r="R169" s="1"/>
    </row>
    <row r="170" spans="7:18" x14ac:dyDescent="0.25">
      <c r="G170" s="1"/>
      <c r="H170" s="1"/>
      <c r="I170" s="1"/>
      <c r="J170" s="8"/>
      <c r="K170" s="7"/>
      <c r="L170" s="1"/>
      <c r="O170" s="1"/>
      <c r="R170" s="1"/>
    </row>
    <row r="171" spans="7:18" x14ac:dyDescent="0.25">
      <c r="G171" s="1"/>
      <c r="H171" s="1"/>
      <c r="I171" s="1"/>
      <c r="J171" s="8"/>
      <c r="K171" s="7"/>
      <c r="L171" s="1"/>
      <c r="O171" s="1"/>
      <c r="R171" s="1"/>
    </row>
    <row r="172" spans="7:18" x14ac:dyDescent="0.25">
      <c r="G172" s="1"/>
      <c r="H172" s="1"/>
      <c r="I172" s="1"/>
      <c r="J172" s="8"/>
      <c r="K172" s="7"/>
      <c r="L172" s="1"/>
      <c r="O172" s="1"/>
      <c r="R172" s="1"/>
    </row>
    <row r="173" spans="7:18" x14ac:dyDescent="0.25">
      <c r="G173" s="1"/>
      <c r="H173" s="1"/>
      <c r="I173" s="1"/>
      <c r="J173" s="8"/>
      <c r="K173" s="7"/>
      <c r="L173" s="1"/>
      <c r="O173" s="1"/>
      <c r="R173" s="1"/>
    </row>
    <row r="174" spans="7:18" x14ac:dyDescent="0.25">
      <c r="G174" s="1"/>
      <c r="H174" s="1"/>
      <c r="I174" s="1"/>
      <c r="J174" s="8"/>
      <c r="K174" s="7"/>
      <c r="L174" s="1"/>
      <c r="O174" s="1"/>
      <c r="R174" s="1"/>
    </row>
    <row r="175" spans="7:18" x14ac:dyDescent="0.25">
      <c r="G175" s="1"/>
      <c r="H175" s="1"/>
      <c r="I175" s="1"/>
      <c r="J175" s="8"/>
      <c r="K175" s="7"/>
      <c r="L175" s="1"/>
      <c r="O175" s="1"/>
      <c r="R175" s="1"/>
    </row>
    <row r="176" spans="7:18" x14ac:dyDescent="0.25">
      <c r="G176" s="1"/>
      <c r="H176" s="1"/>
      <c r="I176" s="1"/>
      <c r="J176" s="8"/>
      <c r="K176" s="7"/>
      <c r="L176" s="1"/>
      <c r="O176" s="1"/>
      <c r="R176" s="1"/>
    </row>
    <row r="177" spans="7:18" x14ac:dyDescent="0.25">
      <c r="G177" s="1"/>
      <c r="H177" s="1"/>
      <c r="I177" s="1"/>
      <c r="J177" s="8"/>
      <c r="K177" s="7"/>
      <c r="L177" s="1"/>
      <c r="O177" s="1"/>
      <c r="R177" s="1"/>
    </row>
    <row r="178" spans="7:18" x14ac:dyDescent="0.25">
      <c r="G178" s="1"/>
      <c r="H178" s="1"/>
      <c r="I178" s="1"/>
      <c r="J178" s="8"/>
      <c r="K178" s="7"/>
      <c r="L178" s="1"/>
      <c r="O178" s="1"/>
      <c r="R178" s="1"/>
    </row>
    <row r="179" spans="7:18" x14ac:dyDescent="0.25">
      <c r="G179" s="1"/>
      <c r="H179" s="1"/>
      <c r="I179" s="1"/>
      <c r="J179" s="8"/>
      <c r="K179" s="7"/>
      <c r="L179" s="1"/>
      <c r="O179" s="1"/>
      <c r="R179" s="1"/>
    </row>
    <row r="180" spans="7:18" x14ac:dyDescent="0.25">
      <c r="G180" s="1"/>
      <c r="H180" s="1"/>
      <c r="I180" s="1"/>
      <c r="J180" s="8"/>
      <c r="K180" s="7"/>
      <c r="L180" s="1"/>
      <c r="O180" s="1"/>
      <c r="R180" s="1"/>
    </row>
    <row r="181" spans="7:18" x14ac:dyDescent="0.25">
      <c r="G181" s="1"/>
      <c r="H181" s="1"/>
      <c r="I181" s="1"/>
      <c r="J181" s="8"/>
      <c r="K181" s="7"/>
      <c r="L181" s="1"/>
      <c r="O181" s="1"/>
      <c r="R181" s="1"/>
    </row>
    <row r="182" spans="7:18" x14ac:dyDescent="0.25">
      <c r="G182" s="1"/>
      <c r="H182" s="1"/>
      <c r="I182" s="1"/>
      <c r="J182" s="8"/>
      <c r="K182" s="7"/>
      <c r="L182" s="1"/>
      <c r="O182" s="1"/>
      <c r="R182" s="1"/>
    </row>
    <row r="183" spans="7:18" x14ac:dyDescent="0.25">
      <c r="G183" s="1"/>
      <c r="H183" s="1"/>
      <c r="I183" s="1"/>
      <c r="J183" s="8"/>
      <c r="K183" s="7"/>
      <c r="L183" s="1"/>
      <c r="O183" s="1"/>
      <c r="R183" s="1"/>
    </row>
    <row r="184" spans="7:18" x14ac:dyDescent="0.25">
      <c r="G184" s="1"/>
      <c r="H184" s="1"/>
      <c r="I184" s="1"/>
      <c r="J184" s="8"/>
      <c r="K184" s="7"/>
      <c r="L184" s="1"/>
      <c r="O184" s="1"/>
      <c r="R184" s="1"/>
    </row>
    <row r="185" spans="7:18" x14ac:dyDescent="0.25">
      <c r="G185" s="1"/>
      <c r="H185" s="1"/>
      <c r="I185" s="1"/>
      <c r="J185" s="8"/>
      <c r="K185" s="7"/>
      <c r="L185" s="1"/>
      <c r="O185" s="1"/>
      <c r="R185" s="1"/>
    </row>
    <row r="186" spans="7:18" x14ac:dyDescent="0.25">
      <c r="G186" s="1"/>
      <c r="H186" s="1"/>
      <c r="I186" s="1"/>
      <c r="J186" s="8"/>
      <c r="K186" s="7"/>
      <c r="L186" s="1"/>
      <c r="O186" s="1"/>
      <c r="R186" s="1"/>
    </row>
    <row r="187" spans="7:18" x14ac:dyDescent="0.25">
      <c r="G187" s="1"/>
      <c r="H187" s="1"/>
      <c r="I187" s="1"/>
      <c r="J187" s="8"/>
      <c r="K187" s="7"/>
      <c r="L187" s="1"/>
      <c r="O187" s="1"/>
      <c r="R187" s="1"/>
    </row>
    <row r="188" spans="7:18" x14ac:dyDescent="0.25">
      <c r="G188" s="1"/>
      <c r="H188" s="1"/>
      <c r="I188" s="1"/>
      <c r="J188" s="8"/>
      <c r="K188" s="7"/>
      <c r="L188" s="1"/>
      <c r="O188" s="1"/>
      <c r="R188" s="1"/>
    </row>
    <row r="189" spans="7:18" x14ac:dyDescent="0.25">
      <c r="G189" s="1"/>
      <c r="H189" s="1"/>
      <c r="I189" s="1"/>
      <c r="J189" s="8"/>
      <c r="K189" s="7"/>
      <c r="L189" s="1"/>
      <c r="O189" s="1"/>
      <c r="R189" s="1"/>
    </row>
    <row r="190" spans="7:18" x14ac:dyDescent="0.25">
      <c r="G190" s="1"/>
      <c r="H190" s="1"/>
      <c r="I190" s="1"/>
      <c r="J190" s="8"/>
      <c r="K190" s="7"/>
      <c r="L190" s="1"/>
      <c r="O190" s="1"/>
      <c r="R190" s="1"/>
    </row>
    <row r="191" spans="7:18" x14ac:dyDescent="0.25">
      <c r="G191" s="1"/>
      <c r="H191" s="1"/>
      <c r="I191" s="1"/>
      <c r="J191" s="8"/>
      <c r="K191" s="7"/>
      <c r="L191" s="1"/>
      <c r="O191" s="1"/>
      <c r="R191" s="1"/>
    </row>
    <row r="192" spans="7:18" x14ac:dyDescent="0.25">
      <c r="G192" s="1"/>
      <c r="H192" s="1"/>
      <c r="I192" s="1"/>
      <c r="J192" s="8"/>
      <c r="K192" s="7"/>
      <c r="L192" s="1"/>
      <c r="O192" s="1"/>
      <c r="R192" s="1"/>
    </row>
    <row r="193" spans="7:18" x14ac:dyDescent="0.25">
      <c r="G193" s="1"/>
      <c r="H193" s="1"/>
      <c r="I193" s="1"/>
      <c r="J193" s="8"/>
      <c r="K193" s="7"/>
      <c r="L193" s="1"/>
      <c r="O193" s="1"/>
      <c r="R193" s="1"/>
    </row>
    <row r="194" spans="7:18" x14ac:dyDescent="0.25">
      <c r="G194" s="1"/>
      <c r="H194" s="1"/>
      <c r="I194" s="1"/>
      <c r="J194" s="8"/>
      <c r="K194" s="7"/>
      <c r="L194" s="1"/>
      <c r="O194" s="1"/>
      <c r="R194" s="1"/>
    </row>
    <row r="195" spans="7:18" x14ac:dyDescent="0.25">
      <c r="G195" s="1"/>
      <c r="H195" s="1"/>
      <c r="I195" s="1"/>
      <c r="J195" s="8"/>
      <c r="K195" s="7"/>
      <c r="L195" s="1"/>
      <c r="O195" s="1"/>
      <c r="R195" s="1"/>
    </row>
    <row r="196" spans="7:18" x14ac:dyDescent="0.25">
      <c r="G196" s="1"/>
      <c r="H196" s="1"/>
      <c r="I196" s="1"/>
      <c r="J196" s="8"/>
      <c r="K196" s="7"/>
      <c r="L196" s="1"/>
      <c r="O196" s="1"/>
      <c r="R196" s="1"/>
    </row>
    <row r="197" spans="7:18" x14ac:dyDescent="0.25">
      <c r="G197" s="1"/>
      <c r="H197" s="1"/>
      <c r="I197" s="1"/>
      <c r="J197" s="8"/>
      <c r="K197" s="7"/>
      <c r="L197" s="1"/>
      <c r="O197" s="1"/>
      <c r="R197" s="1"/>
    </row>
    <row r="198" spans="7:18" x14ac:dyDescent="0.25">
      <c r="G198" s="1"/>
      <c r="H198" s="1"/>
      <c r="I198" s="1"/>
      <c r="J198" s="8"/>
      <c r="K198" s="7"/>
      <c r="L198" s="1"/>
      <c r="O198" s="1"/>
      <c r="R198" s="1"/>
    </row>
    <row r="199" spans="7:18" x14ac:dyDescent="0.25">
      <c r="G199" s="1"/>
      <c r="H199" s="1"/>
      <c r="I199" s="1"/>
      <c r="J199" s="8"/>
      <c r="K199" s="7"/>
      <c r="L199" s="1"/>
      <c r="O199" s="1"/>
      <c r="R199" s="1"/>
    </row>
    <row r="200" spans="7:18" x14ac:dyDescent="0.25">
      <c r="G200" s="1"/>
      <c r="H200" s="1"/>
      <c r="I200" s="1"/>
      <c r="J200" s="8"/>
      <c r="K200" s="7"/>
      <c r="L200" s="1"/>
      <c r="O200" s="1"/>
      <c r="R200" s="1"/>
    </row>
    <row r="201" spans="7:18" x14ac:dyDescent="0.25">
      <c r="G201" s="1"/>
      <c r="H201" s="1"/>
      <c r="I201" s="1"/>
      <c r="J201" s="8"/>
      <c r="K201" s="7"/>
      <c r="L201" s="1"/>
      <c r="O201" s="1"/>
      <c r="R201" s="1"/>
    </row>
    <row r="202" spans="7:18" x14ac:dyDescent="0.25">
      <c r="G202" s="1"/>
      <c r="H202" s="1"/>
      <c r="I202" s="1"/>
      <c r="J202" s="8"/>
      <c r="K202" s="7"/>
      <c r="L202" s="1"/>
      <c r="O202" s="1"/>
      <c r="R202" s="1"/>
    </row>
    <row r="203" spans="7:18" x14ac:dyDescent="0.25">
      <c r="G203" s="1"/>
      <c r="H203" s="1"/>
      <c r="I203" s="1"/>
      <c r="J203" s="8"/>
      <c r="K203" s="7"/>
      <c r="L203" s="1"/>
      <c r="O203" s="1"/>
      <c r="R203" s="1"/>
    </row>
    <row r="204" spans="7:18" x14ac:dyDescent="0.25">
      <c r="G204" s="1"/>
      <c r="H204" s="1"/>
      <c r="I204" s="1"/>
      <c r="J204" s="8"/>
      <c r="K204" s="7"/>
      <c r="L204" s="1"/>
      <c r="O204" s="1"/>
      <c r="R204" s="1"/>
    </row>
    <row r="205" spans="7:18" x14ac:dyDescent="0.25">
      <c r="G205" s="1"/>
      <c r="H205" s="1"/>
      <c r="I205" s="1"/>
      <c r="J205" s="8"/>
      <c r="K205" s="7"/>
      <c r="L205" s="1"/>
      <c r="O205" s="1"/>
      <c r="R205" s="1"/>
    </row>
    <row r="206" spans="7:18" x14ac:dyDescent="0.25">
      <c r="G206" s="1"/>
      <c r="H206" s="1"/>
      <c r="I206" s="1"/>
      <c r="J206" s="8"/>
      <c r="K206" s="7"/>
      <c r="L206" s="1"/>
      <c r="O206" s="1"/>
      <c r="R206" s="1"/>
    </row>
    <row r="207" spans="7:18" x14ac:dyDescent="0.25">
      <c r="G207" s="1"/>
      <c r="H207" s="1"/>
      <c r="I207" s="1"/>
      <c r="J207" s="8"/>
      <c r="K207" s="7"/>
      <c r="L207" s="1"/>
      <c r="O207" s="1"/>
      <c r="R207" s="1"/>
    </row>
    <row r="208" spans="7:18" x14ac:dyDescent="0.25">
      <c r="G208" s="1"/>
      <c r="H208" s="1"/>
      <c r="I208" s="1"/>
      <c r="J208" s="8"/>
      <c r="K208" s="7"/>
      <c r="L208" s="1"/>
      <c r="O208" s="1"/>
      <c r="R208" s="1"/>
    </row>
    <row r="209" spans="7:18" x14ac:dyDescent="0.25">
      <c r="G209" s="1"/>
      <c r="H209" s="1"/>
      <c r="I209" s="1"/>
      <c r="J209" s="8"/>
      <c r="K209" s="7"/>
      <c r="L209" s="1"/>
      <c r="O209" s="1"/>
      <c r="R209" s="1"/>
    </row>
    <row r="210" spans="7:18" x14ac:dyDescent="0.25">
      <c r="G210" s="1"/>
      <c r="H210" s="1"/>
      <c r="I210" s="1"/>
      <c r="J210" s="8"/>
      <c r="K210" s="7"/>
      <c r="L210" s="1"/>
      <c r="O210" s="1"/>
      <c r="R210" s="1"/>
    </row>
    <row r="211" spans="7:18" x14ac:dyDescent="0.25">
      <c r="G211" s="1"/>
      <c r="H211" s="1"/>
      <c r="I211" s="1"/>
      <c r="J211" s="8"/>
      <c r="K211" s="7"/>
      <c r="L211" s="1"/>
      <c r="O211" s="1"/>
      <c r="R211" s="1"/>
    </row>
    <row r="212" spans="7:18" x14ac:dyDescent="0.25">
      <c r="G212" s="1"/>
      <c r="H212" s="1"/>
      <c r="I212" s="1"/>
      <c r="J212" s="8"/>
      <c r="K212" s="7"/>
      <c r="L212" s="1"/>
      <c r="O212" s="1"/>
      <c r="R212" s="1"/>
    </row>
    <row r="213" spans="7:18" x14ac:dyDescent="0.25">
      <c r="G213" s="1"/>
      <c r="H213" s="1"/>
      <c r="I213" s="1"/>
      <c r="J213" s="8"/>
      <c r="K213" s="7"/>
      <c r="L213" s="1"/>
      <c r="O213" s="1"/>
      <c r="R213" s="1"/>
    </row>
    <row r="214" spans="7:18" x14ac:dyDescent="0.25">
      <c r="G214" s="1"/>
      <c r="H214" s="1"/>
      <c r="I214" s="1"/>
      <c r="J214" s="8"/>
      <c r="K214" s="7"/>
      <c r="L214" s="1"/>
      <c r="O214" s="1"/>
      <c r="R214" s="1"/>
    </row>
    <row r="215" spans="7:18" x14ac:dyDescent="0.25">
      <c r="G215" s="1"/>
      <c r="H215" s="1"/>
      <c r="I215" s="1"/>
      <c r="J215" s="8"/>
      <c r="K215" s="7"/>
      <c r="L215" s="1"/>
      <c r="O215" s="1"/>
      <c r="R215" s="1"/>
    </row>
    <row r="216" spans="7:18" x14ac:dyDescent="0.25">
      <c r="G216" s="1"/>
      <c r="H216" s="1"/>
      <c r="I216" s="1"/>
      <c r="J216" s="8"/>
      <c r="K216" s="7"/>
      <c r="L216" s="1"/>
      <c r="O216" s="1"/>
      <c r="R216" s="1"/>
    </row>
    <row r="217" spans="7:18" x14ac:dyDescent="0.25">
      <c r="G217" s="1"/>
      <c r="H217" s="1"/>
      <c r="I217" s="1"/>
      <c r="J217" s="8"/>
      <c r="K217" s="7"/>
      <c r="L217" s="1"/>
      <c r="O217" s="1"/>
      <c r="R217" s="1"/>
    </row>
    <row r="218" spans="7:18" x14ac:dyDescent="0.25">
      <c r="G218" s="1"/>
      <c r="H218" s="1"/>
      <c r="I218" s="1"/>
      <c r="J218" s="8"/>
      <c r="K218" s="7"/>
      <c r="L218" s="1"/>
      <c r="O218" s="1"/>
      <c r="R218" s="1"/>
    </row>
    <row r="219" spans="7:18" x14ac:dyDescent="0.25">
      <c r="G219" s="1"/>
      <c r="H219" s="1"/>
      <c r="I219" s="1"/>
      <c r="J219" s="8"/>
      <c r="K219" s="7"/>
      <c r="L219" s="1"/>
      <c r="O219" s="1"/>
      <c r="R219" s="1"/>
    </row>
    <row r="220" spans="7:18" x14ac:dyDescent="0.25">
      <c r="G220" s="1"/>
      <c r="H220" s="1"/>
      <c r="I220" s="1"/>
      <c r="J220" s="8"/>
      <c r="K220" s="7"/>
      <c r="L220" s="1"/>
      <c r="O220" s="1"/>
      <c r="R220" s="1"/>
    </row>
    <row r="221" spans="7:18" x14ac:dyDescent="0.25">
      <c r="G221" s="1"/>
      <c r="H221" s="1"/>
      <c r="I221" s="1"/>
      <c r="J221" s="8"/>
      <c r="K221" s="7"/>
      <c r="L221" s="1"/>
      <c r="O221" s="1"/>
      <c r="R221" s="1"/>
    </row>
    <row r="222" spans="7:18" x14ac:dyDescent="0.25">
      <c r="G222" s="1"/>
      <c r="H222" s="1"/>
      <c r="I222" s="1"/>
      <c r="J222" s="8"/>
      <c r="K222" s="7"/>
      <c r="L222" s="1"/>
      <c r="O222" s="1"/>
      <c r="R222" s="1"/>
    </row>
    <row r="223" spans="7:18" x14ac:dyDescent="0.25">
      <c r="G223" s="1"/>
      <c r="H223" s="1"/>
      <c r="I223" s="1"/>
      <c r="J223" s="8"/>
      <c r="K223" s="7"/>
      <c r="L223" s="1"/>
      <c r="O223" s="1"/>
      <c r="R223" s="1"/>
    </row>
    <row r="224" spans="7:18" x14ac:dyDescent="0.25">
      <c r="G224" s="1"/>
      <c r="H224" s="1"/>
      <c r="I224" s="1"/>
      <c r="J224" s="8"/>
      <c r="K224" s="7"/>
      <c r="L224" s="1"/>
      <c r="O224" s="1"/>
      <c r="R224" s="1"/>
    </row>
    <row r="225" spans="7:18" x14ac:dyDescent="0.25">
      <c r="G225" s="1"/>
      <c r="H225" s="1"/>
      <c r="I225" s="1"/>
      <c r="J225" s="8"/>
      <c r="K225" s="7"/>
      <c r="L225" s="1"/>
      <c r="O225" s="1"/>
      <c r="R225" s="1"/>
    </row>
    <row r="226" spans="7:18" x14ac:dyDescent="0.25">
      <c r="G226" s="1"/>
      <c r="H226" s="1"/>
      <c r="I226" s="1"/>
      <c r="J226" s="8"/>
      <c r="K226" s="7"/>
      <c r="L226" s="1"/>
      <c r="O226" s="1"/>
      <c r="R226" s="1"/>
    </row>
    <row r="227" spans="7:18" x14ac:dyDescent="0.25">
      <c r="G227" s="1"/>
      <c r="H227" s="1"/>
      <c r="I227" s="1"/>
      <c r="J227" s="8"/>
      <c r="K227" s="7"/>
      <c r="L227" s="1"/>
      <c r="O227" s="1"/>
      <c r="R227" s="1"/>
    </row>
    <row r="228" spans="7:18" x14ac:dyDescent="0.25">
      <c r="G228" s="1"/>
      <c r="H228" s="1"/>
      <c r="I228" s="1"/>
      <c r="J228" s="8"/>
      <c r="K228" s="7"/>
      <c r="L228" s="1"/>
      <c r="O228" s="1"/>
      <c r="R228" s="1"/>
    </row>
    <row r="229" spans="7:18" x14ac:dyDescent="0.25">
      <c r="G229" s="1"/>
      <c r="H229" s="1"/>
      <c r="I229" s="1"/>
      <c r="J229" s="8"/>
      <c r="K229" s="7"/>
      <c r="L229" s="1"/>
      <c r="O229" s="1"/>
      <c r="R229" s="1"/>
    </row>
    <row r="230" spans="7:18" x14ac:dyDescent="0.25">
      <c r="G230" s="1"/>
      <c r="H230" s="1"/>
      <c r="I230" s="1"/>
      <c r="J230" s="8"/>
      <c r="K230" s="7"/>
      <c r="L230" s="1"/>
      <c r="O230" s="1"/>
      <c r="R230" s="1"/>
    </row>
    <row r="231" spans="7:18" x14ac:dyDescent="0.25">
      <c r="G231" s="1"/>
      <c r="H231" s="1"/>
      <c r="I231" s="1"/>
      <c r="J231" s="8"/>
      <c r="K231" s="7"/>
      <c r="L231" s="1"/>
      <c r="O231" s="1"/>
      <c r="R231" s="1"/>
    </row>
    <row r="232" spans="7:18" x14ac:dyDescent="0.25">
      <c r="G232" s="1"/>
      <c r="H232" s="1"/>
      <c r="I232" s="1"/>
      <c r="J232" s="8"/>
      <c r="K232" s="7"/>
      <c r="L232" s="1"/>
      <c r="O232" s="1"/>
      <c r="R232" s="1"/>
    </row>
    <row r="233" spans="7:18" x14ac:dyDescent="0.25">
      <c r="G233" s="1"/>
      <c r="H233" s="1"/>
      <c r="I233" s="1"/>
      <c r="J233" s="8"/>
      <c r="K233" s="7"/>
      <c r="L233" s="1"/>
      <c r="O233" s="1"/>
      <c r="R233" s="1"/>
    </row>
    <row r="234" spans="7:18" x14ac:dyDescent="0.25">
      <c r="G234" s="1"/>
      <c r="H234" s="1"/>
      <c r="I234" s="1"/>
      <c r="J234" s="8"/>
      <c r="K234" s="7"/>
      <c r="L234" s="1"/>
      <c r="O234" s="1"/>
      <c r="R234" s="1"/>
    </row>
    <row r="235" spans="7:18" x14ac:dyDescent="0.25">
      <c r="G235" s="1"/>
      <c r="H235" s="1"/>
      <c r="I235" s="1"/>
      <c r="J235" s="8"/>
      <c r="K235" s="7"/>
      <c r="L235" s="1"/>
      <c r="O235" s="1"/>
      <c r="R235" s="1"/>
    </row>
    <row r="236" spans="7:18" x14ac:dyDescent="0.25">
      <c r="G236" s="1"/>
      <c r="H236" s="1"/>
      <c r="I236" s="1"/>
      <c r="J236" s="8"/>
      <c r="K236" s="7"/>
      <c r="L236" s="1"/>
      <c r="O236" s="1"/>
      <c r="R236" s="1"/>
    </row>
    <row r="237" spans="7:18" x14ac:dyDescent="0.25">
      <c r="G237" s="1"/>
      <c r="H237" s="1"/>
      <c r="I237" s="1"/>
      <c r="J237" s="8"/>
      <c r="K237" s="7"/>
      <c r="L237" s="1"/>
      <c r="O237" s="1"/>
      <c r="R237" s="1"/>
    </row>
    <row r="238" spans="7:18" x14ac:dyDescent="0.25">
      <c r="G238" s="1"/>
      <c r="H238" s="1"/>
      <c r="I238" s="1"/>
      <c r="J238" s="8"/>
      <c r="K238" s="7"/>
      <c r="L238" s="1"/>
      <c r="O238" s="1"/>
      <c r="R238" s="1"/>
    </row>
    <row r="239" spans="7:18" x14ac:dyDescent="0.25">
      <c r="G239" s="1"/>
      <c r="H239" s="1"/>
      <c r="I239" s="1"/>
      <c r="J239" s="8"/>
      <c r="K239" s="7"/>
      <c r="L239" s="1"/>
      <c r="O239" s="1"/>
      <c r="R239" s="1"/>
    </row>
    <row r="240" spans="7:18" x14ac:dyDescent="0.25">
      <c r="G240" s="1"/>
      <c r="H240" s="1"/>
      <c r="I240" s="1"/>
      <c r="J240" s="8"/>
      <c r="K240" s="7"/>
      <c r="L240" s="1"/>
      <c r="O240" s="1"/>
      <c r="R240" s="1"/>
    </row>
    <row r="241" spans="7:18" x14ac:dyDescent="0.25">
      <c r="G241" s="1"/>
      <c r="H241" s="1"/>
      <c r="I241" s="1"/>
      <c r="J241" s="8"/>
      <c r="K241" s="7"/>
      <c r="L241" s="1"/>
      <c r="O241" s="1"/>
      <c r="R241" s="1"/>
    </row>
    <row r="242" spans="7:18" x14ac:dyDescent="0.25">
      <c r="G242" s="1"/>
      <c r="H242" s="1"/>
      <c r="I242" s="1"/>
      <c r="J242" s="8"/>
      <c r="K242" s="7"/>
      <c r="L242" s="1"/>
      <c r="O242" s="1"/>
      <c r="R242" s="1"/>
    </row>
    <row r="243" spans="7:18" x14ac:dyDescent="0.25">
      <c r="G243" s="1"/>
      <c r="H243" s="1"/>
      <c r="I243" s="1"/>
      <c r="J243" s="8"/>
      <c r="K243" s="7"/>
      <c r="L243" s="1"/>
      <c r="O243" s="1"/>
      <c r="R243" s="1"/>
    </row>
    <row r="244" spans="7:18" x14ac:dyDescent="0.25">
      <c r="G244" s="1"/>
      <c r="H244" s="1"/>
      <c r="I244" s="1"/>
      <c r="J244" s="8"/>
      <c r="K244" s="7"/>
      <c r="L244" s="1"/>
      <c r="O244" s="1"/>
      <c r="R244" s="1"/>
    </row>
    <row r="245" spans="7:18" x14ac:dyDescent="0.25">
      <c r="G245" s="1"/>
      <c r="H245" s="1"/>
      <c r="I245" s="1"/>
      <c r="J245" s="8"/>
      <c r="K245" s="7"/>
      <c r="L245" s="1"/>
      <c r="O245" s="1"/>
      <c r="R245" s="1"/>
    </row>
    <row r="246" spans="7:18" x14ac:dyDescent="0.25">
      <c r="G246" s="1"/>
      <c r="H246" s="1"/>
      <c r="I246" s="1"/>
      <c r="J246" s="8"/>
      <c r="K246" s="7"/>
      <c r="L246" s="1"/>
      <c r="O246" s="1"/>
      <c r="R246" s="1"/>
    </row>
    <row r="247" spans="7:18" x14ac:dyDescent="0.25">
      <c r="G247" s="1"/>
      <c r="H247" s="1"/>
      <c r="I247" s="1"/>
      <c r="J247" s="8"/>
      <c r="K247" s="7"/>
      <c r="L247" s="1"/>
      <c r="O247" s="1"/>
      <c r="R247" s="1"/>
    </row>
    <row r="248" spans="7:18" x14ac:dyDescent="0.25">
      <c r="G248" s="1"/>
      <c r="H248" s="1"/>
      <c r="I248" s="1"/>
      <c r="J248" s="8"/>
      <c r="K248" s="7"/>
      <c r="L248" s="1"/>
      <c r="O248" s="1"/>
      <c r="R248" s="1"/>
    </row>
    <row r="249" spans="7:18" x14ac:dyDescent="0.25">
      <c r="G249" s="1"/>
      <c r="H249" s="1"/>
      <c r="I249" s="1"/>
      <c r="J249" s="8"/>
      <c r="K249" s="7"/>
      <c r="L249" s="1"/>
      <c r="O249" s="1"/>
      <c r="R249" s="1"/>
    </row>
    <row r="250" spans="7:18" x14ac:dyDescent="0.25">
      <c r="G250" s="1"/>
      <c r="H250" s="1"/>
      <c r="I250" s="1"/>
      <c r="J250" s="8"/>
      <c r="K250" s="7"/>
      <c r="L250" s="1"/>
      <c r="O250" s="1"/>
      <c r="R250" s="1"/>
    </row>
    <row r="251" spans="7:18" x14ac:dyDescent="0.25">
      <c r="G251" s="1"/>
      <c r="H251" s="1"/>
      <c r="I251" s="1"/>
      <c r="J251" s="8"/>
      <c r="K251" s="7"/>
      <c r="L251" s="1"/>
      <c r="O251" s="1"/>
      <c r="R251" s="1"/>
    </row>
    <row r="252" spans="7:18" x14ac:dyDescent="0.25">
      <c r="G252" s="1"/>
      <c r="H252" s="1"/>
      <c r="I252" s="1"/>
      <c r="J252" s="8"/>
      <c r="K252" s="7"/>
      <c r="L252" s="1"/>
      <c r="O252" s="1"/>
      <c r="R252" s="1"/>
    </row>
    <row r="253" spans="7:18" x14ac:dyDescent="0.25">
      <c r="G253" s="1"/>
      <c r="H253" s="1"/>
      <c r="I253" s="1"/>
      <c r="J253" s="8"/>
      <c r="K253" s="7"/>
      <c r="L253" s="1"/>
      <c r="O253" s="1"/>
      <c r="R253" s="1"/>
    </row>
    <row r="254" spans="7:18" x14ac:dyDescent="0.25">
      <c r="G254" s="1"/>
      <c r="H254" s="1"/>
      <c r="I254" s="1"/>
      <c r="J254" s="8"/>
      <c r="K254" s="7"/>
      <c r="L254" s="1"/>
      <c r="O254" s="1"/>
      <c r="R254" s="1"/>
    </row>
    <row r="255" spans="7:18" x14ac:dyDescent="0.25">
      <c r="G255" s="1"/>
      <c r="H255" s="1"/>
      <c r="I255" s="1"/>
      <c r="J255" s="8"/>
      <c r="K255" s="7"/>
      <c r="L255" s="1"/>
      <c r="O255" s="1"/>
      <c r="R255" s="1"/>
    </row>
    <row r="256" spans="7:18" x14ac:dyDescent="0.25">
      <c r="G256" s="1"/>
      <c r="H256" s="1"/>
      <c r="I256" s="1"/>
      <c r="J256" s="8"/>
      <c r="K256" s="7"/>
      <c r="L256" s="1"/>
      <c r="O256" s="1"/>
      <c r="R256" s="1"/>
    </row>
    <row r="257" spans="7:18" x14ac:dyDescent="0.25">
      <c r="G257" s="1"/>
      <c r="H257" s="1"/>
      <c r="I257" s="1"/>
      <c r="J257" s="8"/>
      <c r="K257" s="7"/>
      <c r="L257" s="1"/>
      <c r="O257" s="1"/>
      <c r="R257" s="1"/>
    </row>
    <row r="258" spans="7:18" x14ac:dyDescent="0.25">
      <c r="G258" s="1"/>
      <c r="H258" s="1"/>
      <c r="I258" s="1"/>
      <c r="J258" s="8"/>
      <c r="K258" s="7"/>
      <c r="L258" s="1"/>
      <c r="O258" s="1"/>
      <c r="R258" s="1"/>
    </row>
    <row r="259" spans="7:18" x14ac:dyDescent="0.25">
      <c r="G259" s="1"/>
      <c r="H259" s="1"/>
      <c r="I259" s="1"/>
      <c r="J259" s="8"/>
      <c r="K259" s="7"/>
      <c r="L259" s="1"/>
      <c r="O259" s="1"/>
      <c r="R259" s="1"/>
    </row>
    <row r="260" spans="7:18" x14ac:dyDescent="0.25">
      <c r="G260" s="1"/>
      <c r="H260" s="1"/>
      <c r="I260" s="1"/>
      <c r="J260" s="8"/>
      <c r="K260" s="7"/>
      <c r="L260" s="1"/>
      <c r="O260" s="1"/>
      <c r="R260" s="1"/>
    </row>
    <row r="261" spans="7:18" x14ac:dyDescent="0.25">
      <c r="G261" s="1"/>
      <c r="H261" s="1"/>
      <c r="I261" s="1"/>
      <c r="J261" s="8"/>
      <c r="K261" s="7"/>
      <c r="L261" s="1"/>
      <c r="O261" s="1"/>
      <c r="R261" s="1"/>
    </row>
    <row r="262" spans="7:18" x14ac:dyDescent="0.25">
      <c r="G262" s="1"/>
      <c r="H262" s="1"/>
      <c r="I262" s="1"/>
      <c r="J262" s="8"/>
      <c r="K262" s="7"/>
      <c r="L262" s="1"/>
      <c r="O262" s="1"/>
      <c r="R262" s="1"/>
    </row>
    <row r="263" spans="7:18" x14ac:dyDescent="0.25">
      <c r="G263" s="1"/>
      <c r="H263" s="1"/>
      <c r="I263" s="1"/>
      <c r="J263" s="8"/>
      <c r="K263" s="7"/>
      <c r="L263" s="1"/>
      <c r="O263" s="1"/>
      <c r="R263" s="1"/>
    </row>
    <row r="264" spans="7:18" x14ac:dyDescent="0.25">
      <c r="G264" s="1"/>
      <c r="H264" s="1"/>
      <c r="I264" s="1"/>
      <c r="J264" s="8"/>
      <c r="K264" s="7"/>
      <c r="L264" s="1"/>
      <c r="O264" s="1"/>
      <c r="R264" s="1"/>
    </row>
    <row r="265" spans="7:18" x14ac:dyDescent="0.25">
      <c r="G265" s="1"/>
      <c r="H265" s="1"/>
      <c r="I265" s="1"/>
      <c r="J265" s="8"/>
      <c r="K265" s="7"/>
      <c r="L265" s="1"/>
      <c r="O265" s="1"/>
      <c r="R265" s="1"/>
    </row>
    <row r="266" spans="7:18" x14ac:dyDescent="0.25">
      <c r="G266" s="1"/>
      <c r="H266" s="1"/>
      <c r="I266" s="1"/>
      <c r="J266" s="8"/>
      <c r="K266" s="7"/>
      <c r="L266" s="1"/>
      <c r="O266" s="1"/>
      <c r="R266" s="1"/>
    </row>
    <row r="267" spans="7:18" x14ac:dyDescent="0.25">
      <c r="G267" s="1"/>
      <c r="H267" s="1"/>
      <c r="I267" s="1"/>
      <c r="J267" s="8"/>
      <c r="K267" s="7"/>
      <c r="L267" s="1"/>
      <c r="O267" s="1"/>
      <c r="R267" s="1"/>
    </row>
    <row r="268" spans="7:18" x14ac:dyDescent="0.25">
      <c r="G268" s="1"/>
      <c r="H268" s="1"/>
      <c r="I268" s="1"/>
      <c r="J268" s="8"/>
      <c r="K268" s="7"/>
      <c r="L268" s="1"/>
      <c r="O268" s="1"/>
      <c r="R268" s="1"/>
    </row>
    <row r="269" spans="7:18" x14ac:dyDescent="0.25">
      <c r="G269" s="1"/>
      <c r="H269" s="1"/>
      <c r="I269" s="1"/>
      <c r="J269" s="8"/>
      <c r="K269" s="7"/>
      <c r="L269" s="1"/>
      <c r="O269" s="1"/>
      <c r="R269" s="1"/>
    </row>
    <row r="270" spans="7:18" x14ac:dyDescent="0.25">
      <c r="G270" s="1"/>
      <c r="H270" s="1"/>
      <c r="I270" s="1"/>
      <c r="J270" s="8"/>
      <c r="K270" s="7"/>
      <c r="L270" s="1"/>
      <c r="O270" s="1"/>
      <c r="R270" s="1"/>
    </row>
    <row r="271" spans="7:18" x14ac:dyDescent="0.25">
      <c r="G271" s="1"/>
      <c r="H271" s="1"/>
      <c r="I271" s="1"/>
      <c r="J271" s="8"/>
      <c r="K271" s="7"/>
      <c r="L271" s="1"/>
      <c r="O271" s="1"/>
      <c r="R271" s="1"/>
    </row>
    <row r="272" spans="7:18" x14ac:dyDescent="0.25">
      <c r="G272" s="1"/>
      <c r="H272" s="1"/>
      <c r="I272" s="1"/>
      <c r="J272" s="8"/>
      <c r="K272" s="7"/>
      <c r="L272" s="1"/>
      <c r="O272" s="1"/>
      <c r="R272" s="1"/>
    </row>
    <row r="273" spans="7:18" x14ac:dyDescent="0.25">
      <c r="G273" s="1"/>
      <c r="H273" s="1"/>
      <c r="I273" s="1"/>
      <c r="J273" s="8"/>
      <c r="K273" s="7"/>
      <c r="L273" s="1"/>
      <c r="O273" s="1"/>
      <c r="R273" s="1"/>
    </row>
    <row r="274" spans="7:18" x14ac:dyDescent="0.25">
      <c r="G274" s="1"/>
      <c r="H274" s="1"/>
      <c r="I274" s="1"/>
      <c r="J274" s="8"/>
      <c r="K274" s="7"/>
      <c r="L274" s="1"/>
      <c r="O274" s="1"/>
      <c r="R274" s="1"/>
    </row>
    <row r="275" spans="7:18" x14ac:dyDescent="0.25">
      <c r="G275" s="1"/>
      <c r="H275" s="1"/>
      <c r="I275" s="1"/>
      <c r="J275" s="8"/>
      <c r="K275" s="7"/>
      <c r="L275" s="1"/>
      <c r="O275" s="1"/>
      <c r="R275" s="1"/>
    </row>
    <row r="276" spans="7:18" x14ac:dyDescent="0.25">
      <c r="G276" s="1"/>
      <c r="H276" s="1"/>
      <c r="I276" s="1"/>
      <c r="J276" s="8"/>
      <c r="K276" s="7"/>
      <c r="L276" s="1"/>
      <c r="O276" s="1"/>
      <c r="R276" s="1"/>
    </row>
    <row r="277" spans="7:18" x14ac:dyDescent="0.25">
      <c r="G277" s="1"/>
      <c r="H277" s="1"/>
      <c r="I277" s="1"/>
      <c r="J277" s="8"/>
      <c r="K277" s="7"/>
      <c r="L277" s="1"/>
      <c r="O277" s="1"/>
      <c r="R277" s="1"/>
    </row>
    <row r="278" spans="7:18" x14ac:dyDescent="0.25">
      <c r="G278" s="1"/>
      <c r="H278" s="1"/>
      <c r="I278" s="1"/>
      <c r="J278" s="8"/>
      <c r="K278" s="7"/>
      <c r="L278" s="1"/>
      <c r="O278" s="1"/>
      <c r="R278" s="1"/>
    </row>
    <row r="279" spans="7:18" x14ac:dyDescent="0.25">
      <c r="G279" s="1"/>
      <c r="H279" s="1"/>
      <c r="I279" s="1"/>
      <c r="J279" s="8"/>
      <c r="K279" s="7"/>
      <c r="L279" s="1"/>
      <c r="O279" s="1"/>
      <c r="R279" s="1"/>
    </row>
    <row r="280" spans="7:18" x14ac:dyDescent="0.25">
      <c r="G280" s="1"/>
      <c r="H280" s="1"/>
      <c r="I280" s="1"/>
      <c r="J280" s="8"/>
      <c r="K280" s="7"/>
      <c r="L280" s="1"/>
      <c r="O280" s="1"/>
      <c r="R280" s="1"/>
    </row>
    <row r="281" spans="7:18" x14ac:dyDescent="0.25">
      <c r="G281" s="1"/>
      <c r="H281" s="1"/>
      <c r="I281" s="1"/>
      <c r="J281" s="8"/>
      <c r="K281" s="7"/>
      <c r="L281" s="1"/>
      <c r="O281" s="1"/>
      <c r="R281" s="1"/>
    </row>
    <row r="282" spans="7:18" x14ac:dyDescent="0.25">
      <c r="G282" s="1"/>
      <c r="H282" s="1"/>
      <c r="I282" s="1"/>
      <c r="J282" s="8"/>
      <c r="K282" s="7"/>
      <c r="L282" s="1"/>
      <c r="O282" s="1"/>
      <c r="R282" s="1"/>
    </row>
    <row r="283" spans="7:18" x14ac:dyDescent="0.25">
      <c r="G283" s="1"/>
      <c r="H283" s="1"/>
      <c r="I283" s="1"/>
      <c r="J283" s="8"/>
      <c r="K283" s="7"/>
      <c r="L283" s="1"/>
      <c r="O283" s="1"/>
      <c r="R283" s="1"/>
    </row>
    <row r="284" spans="7:18" x14ac:dyDescent="0.25">
      <c r="G284" s="1"/>
      <c r="H284" s="1"/>
      <c r="I284" s="1"/>
      <c r="J284" s="8"/>
      <c r="K284" s="7"/>
      <c r="L284" s="1"/>
      <c r="O284" s="1"/>
      <c r="R284" s="1"/>
    </row>
    <row r="285" spans="7:18" x14ac:dyDescent="0.25">
      <c r="G285" s="1"/>
      <c r="H285" s="1"/>
      <c r="I285" s="1"/>
      <c r="J285" s="8"/>
      <c r="K285" s="7"/>
      <c r="L285" s="1"/>
      <c r="O285" s="1"/>
      <c r="R285" s="1"/>
    </row>
    <row r="286" spans="7:18" x14ac:dyDescent="0.25">
      <c r="G286" s="1"/>
      <c r="H286" s="1"/>
      <c r="I286" s="1"/>
      <c r="J286" s="8"/>
      <c r="K286" s="7"/>
      <c r="L286" s="1"/>
      <c r="O286" s="1"/>
      <c r="R286" s="1"/>
    </row>
    <row r="287" spans="7:18" x14ac:dyDescent="0.25">
      <c r="G287" s="1"/>
      <c r="H287" s="1"/>
      <c r="I287" s="1"/>
      <c r="J287" s="8"/>
      <c r="K287" s="7"/>
      <c r="L287" s="1"/>
      <c r="O287" s="1"/>
      <c r="R287" s="1"/>
    </row>
    <row r="288" spans="7:18" x14ac:dyDescent="0.25">
      <c r="G288" s="1"/>
      <c r="H288" s="1"/>
      <c r="I288" s="1"/>
      <c r="J288" s="8"/>
      <c r="K288" s="7"/>
      <c r="L288" s="1"/>
      <c r="O288" s="1"/>
      <c r="R288" s="1"/>
    </row>
    <row r="289" spans="7:18" x14ac:dyDescent="0.25">
      <c r="G289" s="1"/>
      <c r="H289" s="1"/>
      <c r="I289" s="1"/>
      <c r="J289" s="8"/>
      <c r="K289" s="7"/>
      <c r="L289" s="1"/>
      <c r="O289" s="1"/>
      <c r="R289" s="1"/>
    </row>
    <row r="290" spans="7:18" x14ac:dyDescent="0.25">
      <c r="G290" s="1"/>
      <c r="H290" s="1"/>
      <c r="I290" s="1"/>
      <c r="J290" s="8"/>
      <c r="K290" s="7"/>
      <c r="L290" s="1"/>
      <c r="O290" s="1"/>
      <c r="R290" s="1"/>
    </row>
    <row r="291" spans="7:18" x14ac:dyDescent="0.25">
      <c r="G291" s="1"/>
      <c r="H291" s="1"/>
      <c r="I291" s="1"/>
      <c r="J291" s="8"/>
      <c r="K291" s="7"/>
      <c r="L291" s="1"/>
      <c r="O291" s="1"/>
      <c r="R291" s="1"/>
    </row>
    <row r="292" spans="7:18" x14ac:dyDescent="0.25">
      <c r="G292" s="1"/>
      <c r="H292" s="1"/>
      <c r="I292" s="1"/>
      <c r="J292" s="8"/>
      <c r="K292" s="7"/>
      <c r="L292" s="1"/>
      <c r="O292" s="1"/>
      <c r="R292" s="1"/>
    </row>
    <row r="293" spans="7:18" x14ac:dyDescent="0.25">
      <c r="G293" s="1"/>
      <c r="H293" s="1"/>
      <c r="I293" s="1"/>
      <c r="J293" s="8"/>
      <c r="K293" s="7"/>
      <c r="L293" s="1"/>
      <c r="O293" s="1"/>
      <c r="R293" s="1"/>
    </row>
    <row r="294" spans="7:18" x14ac:dyDescent="0.25">
      <c r="G294" s="1"/>
      <c r="H294" s="1"/>
      <c r="I294" s="1"/>
      <c r="J294" s="8"/>
      <c r="K294" s="7"/>
      <c r="L294" s="1"/>
      <c r="O294" s="1"/>
      <c r="R294" s="1"/>
    </row>
    <row r="295" spans="7:18" x14ac:dyDescent="0.25">
      <c r="G295" s="1"/>
      <c r="H295" s="1"/>
      <c r="I295" s="1"/>
      <c r="J295" s="8"/>
      <c r="K295" s="7"/>
      <c r="L295" s="1"/>
      <c r="O295" s="1"/>
      <c r="R295" s="1"/>
    </row>
    <row r="296" spans="7:18" x14ac:dyDescent="0.25">
      <c r="G296" s="1"/>
      <c r="H296" s="1"/>
      <c r="I296" s="1"/>
      <c r="J296" s="8"/>
      <c r="K296" s="7"/>
      <c r="L296" s="1"/>
      <c r="O296" s="1"/>
      <c r="R296" s="1"/>
    </row>
    <row r="297" spans="7:18" x14ac:dyDescent="0.25">
      <c r="G297" s="1"/>
      <c r="H297" s="1"/>
      <c r="I297" s="1"/>
      <c r="J297" s="8"/>
      <c r="K297" s="7"/>
      <c r="L297" s="1"/>
      <c r="O297" s="1"/>
      <c r="R297" s="1"/>
    </row>
    <row r="298" spans="7:18" x14ac:dyDescent="0.25">
      <c r="G298" s="1"/>
      <c r="H298" s="1"/>
      <c r="I298" s="1"/>
      <c r="J298" s="8"/>
      <c r="K298" s="7"/>
      <c r="L298" s="1"/>
      <c r="O298" s="1"/>
      <c r="R298" s="1"/>
    </row>
    <row r="299" spans="7:18" x14ac:dyDescent="0.25">
      <c r="G299" s="1"/>
      <c r="H299" s="1"/>
      <c r="I299" s="1"/>
      <c r="J299" s="8"/>
      <c r="K299" s="7"/>
      <c r="L299" s="1"/>
      <c r="O299" s="1"/>
      <c r="R299" s="1"/>
    </row>
    <row r="300" spans="7:18" x14ac:dyDescent="0.25">
      <c r="G300" s="1"/>
      <c r="H300" s="1"/>
      <c r="I300" s="1"/>
      <c r="J300" s="8"/>
      <c r="K300" s="7"/>
      <c r="L300" s="1"/>
      <c r="O300" s="1"/>
      <c r="R300" s="1"/>
    </row>
    <row r="301" spans="7:18" x14ac:dyDescent="0.25">
      <c r="G301" s="1"/>
      <c r="H301" s="1"/>
      <c r="I301" s="1"/>
      <c r="J301" s="8"/>
      <c r="K301" s="7"/>
      <c r="L301" s="1"/>
      <c r="O301" s="1"/>
      <c r="R301" s="1"/>
    </row>
    <row r="302" spans="7:18" x14ac:dyDescent="0.25">
      <c r="G302" s="1"/>
      <c r="H302" s="1"/>
      <c r="I302" s="1"/>
      <c r="J302" s="8"/>
      <c r="K302" s="7"/>
      <c r="L302" s="1"/>
      <c r="O302" s="1"/>
      <c r="R302" s="1"/>
    </row>
    <row r="303" spans="7:18" x14ac:dyDescent="0.25">
      <c r="G303" s="1"/>
      <c r="H303" s="1"/>
      <c r="I303" s="1"/>
      <c r="J303" s="8"/>
      <c r="K303" s="7"/>
      <c r="L303" s="1"/>
      <c r="O303" s="1"/>
      <c r="R303" s="1"/>
    </row>
    <row r="304" spans="7:18" x14ac:dyDescent="0.25">
      <c r="G304" s="1"/>
      <c r="H304" s="1"/>
      <c r="I304" s="1"/>
      <c r="J304" s="8"/>
      <c r="K304" s="7"/>
      <c r="L304" s="1"/>
      <c r="O304" s="1"/>
      <c r="R304" s="1"/>
    </row>
    <row r="305" spans="7:18" x14ac:dyDescent="0.25">
      <c r="G305" s="1"/>
      <c r="H305" s="1"/>
      <c r="I305" s="1"/>
      <c r="J305" s="8"/>
      <c r="K305" s="7"/>
      <c r="L305" s="1"/>
      <c r="O305" s="1"/>
      <c r="R305" s="1"/>
    </row>
    <row r="306" spans="7:18" x14ac:dyDescent="0.25">
      <c r="G306" s="1"/>
      <c r="H306" s="1"/>
      <c r="I306" s="1"/>
      <c r="J306" s="8"/>
      <c r="K306" s="7"/>
      <c r="L306" s="1"/>
      <c r="O306" s="1"/>
      <c r="R306" s="1"/>
    </row>
    <row r="307" spans="7:18" x14ac:dyDescent="0.25">
      <c r="G307" s="1"/>
      <c r="H307" s="1"/>
      <c r="I307" s="1"/>
      <c r="J307" s="8"/>
      <c r="K307" s="7"/>
      <c r="L307" s="1"/>
      <c r="O307" s="1"/>
      <c r="R307" s="1"/>
    </row>
    <row r="308" spans="7:18" x14ac:dyDescent="0.25">
      <c r="G308" s="1"/>
      <c r="H308" s="1"/>
      <c r="I308" s="1"/>
      <c r="J308" s="8"/>
      <c r="K308" s="7"/>
      <c r="L308" s="1"/>
      <c r="O308" s="1"/>
      <c r="R308" s="1"/>
    </row>
    <row r="309" spans="7:18" x14ac:dyDescent="0.25">
      <c r="G309" s="1"/>
      <c r="H309" s="1"/>
      <c r="I309" s="1"/>
      <c r="J309" s="8"/>
      <c r="K309" s="7"/>
      <c r="L309" s="1"/>
      <c r="O309" s="1"/>
      <c r="R309" s="1"/>
    </row>
    <row r="310" spans="7:18" x14ac:dyDescent="0.25">
      <c r="G310" s="1"/>
      <c r="H310" s="1"/>
      <c r="I310" s="1"/>
      <c r="J310" s="8"/>
      <c r="K310" s="7"/>
      <c r="L310" s="1"/>
      <c r="O310" s="1"/>
      <c r="R310" s="1"/>
    </row>
    <row r="311" spans="7:18" x14ac:dyDescent="0.25">
      <c r="G311" s="1"/>
      <c r="H311" s="1"/>
      <c r="I311" s="1"/>
      <c r="J311" s="8"/>
      <c r="K311" s="7"/>
      <c r="L311" s="1"/>
      <c r="O311" s="1"/>
      <c r="R311" s="1"/>
    </row>
    <row r="312" spans="7:18" x14ac:dyDescent="0.25">
      <c r="G312" s="1"/>
      <c r="H312" s="1"/>
      <c r="I312" s="1"/>
      <c r="J312" s="8"/>
      <c r="K312" s="7"/>
      <c r="L312" s="1"/>
      <c r="O312" s="1"/>
      <c r="R312" s="1"/>
    </row>
    <row r="313" spans="7:18" x14ac:dyDescent="0.25">
      <c r="G313" s="1"/>
      <c r="H313" s="1"/>
      <c r="I313" s="1"/>
      <c r="J313" s="8"/>
      <c r="K313" s="7"/>
      <c r="L313" s="1"/>
      <c r="O313" s="1"/>
      <c r="R313" s="1"/>
    </row>
    <row r="314" spans="7:18" x14ac:dyDescent="0.25">
      <c r="G314" s="1"/>
      <c r="H314" s="1"/>
      <c r="I314" s="1"/>
      <c r="J314" s="8"/>
      <c r="K314" s="7"/>
      <c r="L314" s="1"/>
      <c r="O314" s="1"/>
      <c r="R314" s="1"/>
    </row>
    <row r="315" spans="7:18" x14ac:dyDescent="0.25">
      <c r="G315" s="1"/>
      <c r="H315" s="1"/>
      <c r="I315" s="1"/>
      <c r="J315" s="8"/>
      <c r="K315" s="7"/>
      <c r="L315" s="1"/>
      <c r="O315" s="1"/>
      <c r="R315" s="1"/>
    </row>
    <row r="316" spans="7:18" x14ac:dyDescent="0.25">
      <c r="G316" s="1"/>
      <c r="H316" s="1"/>
      <c r="I316" s="1"/>
      <c r="J316" s="8"/>
      <c r="K316" s="7"/>
      <c r="L316" s="1"/>
      <c r="O316" s="1"/>
      <c r="R316" s="1"/>
    </row>
    <row r="317" spans="7:18" x14ac:dyDescent="0.25">
      <c r="G317" s="1"/>
      <c r="H317" s="1"/>
      <c r="I317" s="1"/>
      <c r="J317" s="8"/>
      <c r="K317" s="7"/>
      <c r="L317" s="1"/>
      <c r="O317" s="1"/>
      <c r="R317" s="1"/>
    </row>
    <row r="318" spans="7:18" x14ac:dyDescent="0.25">
      <c r="G318" s="1"/>
      <c r="H318" s="1"/>
      <c r="I318" s="1"/>
      <c r="J318" s="8"/>
      <c r="K318" s="7"/>
      <c r="L318" s="1"/>
      <c r="O318" s="1"/>
      <c r="R318" s="1"/>
    </row>
    <row r="319" spans="7:18" x14ac:dyDescent="0.25">
      <c r="G319" s="1"/>
      <c r="H319" s="1"/>
      <c r="I319" s="1"/>
      <c r="J319" s="8"/>
      <c r="K319" s="7"/>
      <c r="L319" s="1"/>
      <c r="O319" s="1"/>
      <c r="R319" s="1"/>
    </row>
    <row r="320" spans="7:18" x14ac:dyDescent="0.25">
      <c r="G320" s="1"/>
      <c r="H320" s="1"/>
      <c r="I320" s="1"/>
      <c r="J320" s="8"/>
      <c r="K320" s="7"/>
      <c r="L320" s="1"/>
      <c r="O320" s="1"/>
      <c r="R320" s="1"/>
    </row>
    <row r="321" spans="7:18" x14ac:dyDescent="0.25">
      <c r="G321" s="1"/>
      <c r="H321" s="1"/>
      <c r="I321" s="1"/>
      <c r="J321" s="8"/>
      <c r="K321" s="7"/>
      <c r="L321" s="1"/>
      <c r="O321" s="1"/>
      <c r="R321" s="1"/>
    </row>
    <row r="322" spans="7:18" x14ac:dyDescent="0.25">
      <c r="G322" s="1"/>
      <c r="H322" s="1"/>
      <c r="I322" s="1"/>
      <c r="J322" s="8"/>
      <c r="K322" s="7"/>
      <c r="L322" s="1"/>
      <c r="O322" s="1"/>
      <c r="R322" s="1"/>
    </row>
    <row r="323" spans="7:18" x14ac:dyDescent="0.25">
      <c r="G323" s="1"/>
      <c r="H323" s="1"/>
      <c r="I323" s="1"/>
      <c r="J323" s="8"/>
      <c r="K323" s="7"/>
      <c r="L323" s="1"/>
      <c r="O323" s="1"/>
      <c r="R323" s="1"/>
    </row>
    <row r="324" spans="7:18" x14ac:dyDescent="0.25">
      <c r="G324" s="1"/>
      <c r="H324" s="1"/>
      <c r="I324" s="1"/>
      <c r="J324" s="8"/>
      <c r="K324" s="7"/>
      <c r="L324" s="1"/>
      <c r="O324" s="1"/>
      <c r="R324" s="1"/>
    </row>
    <row r="325" spans="7:18" x14ac:dyDescent="0.25">
      <c r="G325" s="1"/>
      <c r="H325" s="1"/>
      <c r="I325" s="1"/>
      <c r="J325" s="8"/>
      <c r="K325" s="7"/>
      <c r="L325" s="1"/>
      <c r="O325" s="1"/>
      <c r="R325" s="1"/>
    </row>
    <row r="326" spans="7:18" x14ac:dyDescent="0.25">
      <c r="G326" s="1"/>
      <c r="H326" s="1"/>
      <c r="I326" s="1"/>
      <c r="J326" s="8"/>
      <c r="K326" s="7"/>
      <c r="L326" s="1"/>
      <c r="O326" s="1"/>
      <c r="R326" s="1"/>
    </row>
    <row r="327" spans="7:18" x14ac:dyDescent="0.25">
      <c r="G327" s="1"/>
      <c r="H327" s="1"/>
      <c r="I327" s="1"/>
      <c r="J327" s="8"/>
      <c r="K327" s="7"/>
      <c r="L327" s="1"/>
      <c r="O327" s="1"/>
      <c r="R327" s="1"/>
    </row>
    <row r="328" spans="7:18" x14ac:dyDescent="0.25">
      <c r="G328" s="1"/>
      <c r="H328" s="1"/>
      <c r="I328" s="1"/>
      <c r="J328" s="8"/>
      <c r="K328" s="7"/>
      <c r="L328" s="1"/>
      <c r="O328" s="1"/>
      <c r="R328" s="1"/>
    </row>
    <row r="329" spans="7:18" x14ac:dyDescent="0.25">
      <c r="G329" s="1"/>
      <c r="H329" s="1"/>
      <c r="I329" s="1"/>
      <c r="J329" s="8"/>
      <c r="K329" s="7"/>
      <c r="L329" s="1"/>
      <c r="O329" s="1"/>
      <c r="R329" s="1"/>
    </row>
    <row r="330" spans="7:18" x14ac:dyDescent="0.25">
      <c r="G330" s="1"/>
      <c r="H330" s="1"/>
      <c r="I330" s="1"/>
      <c r="J330" s="8"/>
      <c r="K330" s="7"/>
      <c r="L330" s="1"/>
      <c r="O330" s="1"/>
      <c r="R330" s="1"/>
    </row>
    <row r="331" spans="7:18" x14ac:dyDescent="0.25">
      <c r="G331" s="1"/>
      <c r="H331" s="1"/>
      <c r="I331" s="1"/>
      <c r="J331" s="8"/>
      <c r="K331" s="7"/>
      <c r="L331" s="1"/>
      <c r="O331" s="1"/>
      <c r="R331" s="1"/>
    </row>
    <row r="332" spans="7:18" x14ac:dyDescent="0.25">
      <c r="G332" s="1"/>
      <c r="H332" s="1"/>
      <c r="I332" s="1"/>
      <c r="J332" s="8"/>
      <c r="K332" s="7"/>
      <c r="L332" s="1"/>
      <c r="O332" s="1"/>
      <c r="R332" s="1"/>
    </row>
    <row r="333" spans="7:18" x14ac:dyDescent="0.25">
      <c r="G333" s="1"/>
      <c r="H333" s="1"/>
      <c r="I333" s="1"/>
      <c r="J333" s="8"/>
      <c r="K333" s="7"/>
      <c r="L333" s="1"/>
      <c r="O333" s="1"/>
      <c r="R333" s="1"/>
    </row>
    <row r="334" spans="7:18" x14ac:dyDescent="0.25">
      <c r="G334" s="1"/>
      <c r="H334" s="1"/>
      <c r="I334" s="1"/>
      <c r="J334" s="8"/>
      <c r="K334" s="7"/>
      <c r="L334" s="1"/>
      <c r="O334" s="1"/>
      <c r="R334" s="1"/>
    </row>
    <row r="335" spans="7:18" x14ac:dyDescent="0.25">
      <c r="G335" s="1"/>
      <c r="H335" s="1"/>
      <c r="I335" s="1"/>
      <c r="J335" s="8"/>
      <c r="K335" s="7"/>
      <c r="L335" s="1"/>
      <c r="O335" s="1"/>
      <c r="R335" s="1"/>
    </row>
    <row r="336" spans="7:18" x14ac:dyDescent="0.25">
      <c r="G336" s="1"/>
      <c r="H336" s="1"/>
      <c r="I336" s="1"/>
      <c r="J336" s="8"/>
      <c r="K336" s="7"/>
      <c r="L336" s="1"/>
      <c r="O336" s="1"/>
      <c r="R336" s="1"/>
    </row>
    <row r="337" spans="7:18" x14ac:dyDescent="0.25">
      <c r="G337" s="1"/>
      <c r="H337" s="1"/>
      <c r="I337" s="1"/>
      <c r="J337" s="8"/>
      <c r="K337" s="7"/>
      <c r="L337" s="1"/>
      <c r="O337" s="1"/>
      <c r="R337" s="1"/>
    </row>
    <row r="338" spans="7:18" x14ac:dyDescent="0.25">
      <c r="G338" s="1"/>
      <c r="H338" s="1"/>
      <c r="I338" s="1"/>
      <c r="J338" s="8"/>
      <c r="K338" s="7"/>
      <c r="L338" s="1"/>
      <c r="O338" s="1"/>
      <c r="R338" s="1"/>
    </row>
    <row r="339" spans="7:18" x14ac:dyDescent="0.25">
      <c r="G339" s="1"/>
      <c r="H339" s="1"/>
      <c r="I339" s="1"/>
      <c r="J339" s="8"/>
      <c r="K339" s="7"/>
      <c r="L339" s="1"/>
      <c r="O339" s="1"/>
      <c r="R339" s="1"/>
    </row>
    <row r="340" spans="7:18" x14ac:dyDescent="0.25">
      <c r="G340" s="1"/>
      <c r="H340" s="1"/>
      <c r="I340" s="1"/>
      <c r="J340" s="8"/>
      <c r="K340" s="7"/>
      <c r="L340" s="1"/>
      <c r="O340" s="1"/>
      <c r="R340" s="1"/>
    </row>
    <row r="341" spans="7:18" x14ac:dyDescent="0.25">
      <c r="G341" s="1"/>
      <c r="H341" s="1"/>
      <c r="I341" s="1"/>
      <c r="J341" s="8"/>
      <c r="K341" s="7"/>
      <c r="L341" s="1"/>
      <c r="O341" s="1"/>
      <c r="R341" s="1"/>
    </row>
    <row r="342" spans="7:18" x14ac:dyDescent="0.25">
      <c r="G342" s="1"/>
      <c r="H342" s="1"/>
      <c r="I342" s="1"/>
      <c r="J342" s="8"/>
      <c r="K342" s="7"/>
      <c r="L342" s="1"/>
      <c r="O342" s="1"/>
      <c r="R342" s="1"/>
    </row>
    <row r="343" spans="7:18" x14ac:dyDescent="0.25">
      <c r="G343" s="1"/>
      <c r="H343" s="1"/>
      <c r="I343" s="1"/>
      <c r="J343" s="8"/>
      <c r="K343" s="7"/>
      <c r="L343" s="1"/>
      <c r="O343" s="1"/>
      <c r="R343" s="1"/>
    </row>
    <row r="344" spans="7:18" x14ac:dyDescent="0.25">
      <c r="G344" s="1"/>
      <c r="H344" s="1"/>
      <c r="I344" s="1"/>
      <c r="J344" s="8"/>
      <c r="K344" s="7"/>
      <c r="L344" s="1"/>
      <c r="O344" s="1"/>
      <c r="R344" s="1"/>
    </row>
    <row r="345" spans="7:18" x14ac:dyDescent="0.25">
      <c r="G345" s="1"/>
      <c r="H345" s="1"/>
      <c r="I345" s="1"/>
      <c r="J345" s="8"/>
      <c r="K345" s="7"/>
      <c r="L345" s="1"/>
      <c r="O345" s="1"/>
      <c r="R345" s="1"/>
    </row>
    <row r="346" spans="7:18" x14ac:dyDescent="0.25">
      <c r="G346" s="1"/>
      <c r="H346" s="1"/>
      <c r="I346" s="1"/>
      <c r="J346" s="8"/>
      <c r="K346" s="7"/>
      <c r="L346" s="1"/>
      <c r="O346" s="1"/>
      <c r="R346" s="1"/>
    </row>
    <row r="347" spans="7:18" x14ac:dyDescent="0.25">
      <c r="G347" s="1"/>
      <c r="H347" s="1"/>
      <c r="I347" s="1"/>
      <c r="J347" s="8"/>
      <c r="K347" s="7"/>
      <c r="L347" s="1"/>
      <c r="O347" s="1"/>
      <c r="R347" s="1"/>
    </row>
    <row r="348" spans="7:18" x14ac:dyDescent="0.25">
      <c r="G348" s="1"/>
      <c r="H348" s="1"/>
      <c r="I348" s="1"/>
      <c r="J348" s="8"/>
      <c r="K348" s="7"/>
      <c r="L348" s="1"/>
      <c r="O348" s="1"/>
      <c r="R348" s="1"/>
    </row>
    <row r="349" spans="7:18" x14ac:dyDescent="0.25">
      <c r="G349" s="1"/>
      <c r="H349" s="1"/>
      <c r="I349" s="1"/>
      <c r="J349" s="8"/>
      <c r="K349" s="7"/>
      <c r="L349" s="1"/>
      <c r="O349" s="1"/>
      <c r="R349" s="1"/>
    </row>
    <row r="350" spans="7:18" x14ac:dyDescent="0.25">
      <c r="G350" s="1"/>
      <c r="H350" s="1"/>
      <c r="I350" s="1"/>
      <c r="J350" s="8"/>
      <c r="K350" s="7"/>
      <c r="L350" s="1"/>
      <c r="O350" s="1"/>
      <c r="R350" s="1"/>
    </row>
    <row r="351" spans="7:18" x14ac:dyDescent="0.25">
      <c r="G351" s="1"/>
      <c r="H351" s="1"/>
      <c r="I351" s="1"/>
      <c r="J351" s="8"/>
      <c r="K351" s="7"/>
      <c r="L351" s="1"/>
      <c r="O351" s="1"/>
      <c r="R351" s="1"/>
    </row>
    <row r="352" spans="7:18" x14ac:dyDescent="0.25">
      <c r="G352" s="1"/>
      <c r="H352" s="1"/>
      <c r="I352" s="1"/>
      <c r="J352" s="8"/>
      <c r="K352" s="7"/>
      <c r="L352" s="1"/>
      <c r="O352" s="1"/>
      <c r="R352" s="1"/>
    </row>
    <row r="353" spans="7:18" x14ac:dyDescent="0.25">
      <c r="G353" s="1"/>
      <c r="H353" s="1"/>
      <c r="I353" s="1"/>
      <c r="J353" s="8"/>
      <c r="K353" s="7"/>
      <c r="L353" s="1"/>
      <c r="O353" s="1"/>
      <c r="R353" s="1"/>
    </row>
    <row r="354" spans="7:18" x14ac:dyDescent="0.25">
      <c r="G354" s="1"/>
      <c r="H354" s="1"/>
      <c r="I354" s="1"/>
      <c r="J354" s="8"/>
      <c r="K354" s="7"/>
      <c r="L354" s="1"/>
      <c r="O354" s="1"/>
      <c r="R354" s="1"/>
    </row>
    <row r="355" spans="7:18" x14ac:dyDescent="0.25">
      <c r="G355" s="1"/>
      <c r="H355" s="1"/>
      <c r="I355" s="1"/>
      <c r="J355" s="8"/>
      <c r="K355" s="7"/>
      <c r="L355" s="1"/>
      <c r="O355" s="1"/>
      <c r="R355" s="1"/>
    </row>
    <row r="356" spans="7:18" x14ac:dyDescent="0.25">
      <c r="G356" s="1"/>
      <c r="H356" s="1"/>
      <c r="I356" s="1"/>
      <c r="J356" s="8"/>
      <c r="K356" s="7"/>
      <c r="L356" s="1"/>
      <c r="O356" s="1"/>
      <c r="R356" s="1"/>
    </row>
    <row r="357" spans="7:18" x14ac:dyDescent="0.25">
      <c r="G357" s="1"/>
      <c r="H357" s="1"/>
      <c r="I357" s="1"/>
      <c r="J357" s="8"/>
      <c r="K357" s="7"/>
      <c r="L357" s="1"/>
      <c r="O357" s="1"/>
      <c r="R357" s="1"/>
    </row>
    <row r="358" spans="7:18" x14ac:dyDescent="0.25">
      <c r="G358" s="1"/>
      <c r="H358" s="1"/>
      <c r="I358" s="1"/>
      <c r="J358" s="8"/>
      <c r="K358" s="7"/>
      <c r="L358" s="1"/>
      <c r="O358" s="1"/>
      <c r="R358" s="1"/>
    </row>
    <row r="359" spans="7:18" x14ac:dyDescent="0.25">
      <c r="G359" s="1"/>
      <c r="H359" s="1"/>
      <c r="I359" s="1"/>
      <c r="J359" s="8"/>
      <c r="K359" s="7"/>
      <c r="L359" s="1"/>
      <c r="O359" s="1"/>
      <c r="R359" s="1"/>
    </row>
    <row r="360" spans="7:18" x14ac:dyDescent="0.25">
      <c r="G360" s="1"/>
      <c r="H360" s="1"/>
      <c r="I360" s="1"/>
      <c r="J360" s="8"/>
      <c r="K360" s="7"/>
      <c r="L360" s="1"/>
      <c r="O360" s="1"/>
      <c r="R360" s="1"/>
    </row>
    <row r="361" spans="7:18" x14ac:dyDescent="0.25">
      <c r="G361" s="1"/>
      <c r="H361" s="1"/>
      <c r="I361" s="1"/>
      <c r="J361" s="8"/>
      <c r="K361" s="7"/>
      <c r="L361" s="1"/>
      <c r="O361" s="1"/>
      <c r="R361" s="1"/>
    </row>
    <row r="362" spans="7:18" x14ac:dyDescent="0.25">
      <c r="G362" s="1"/>
      <c r="H362" s="1"/>
      <c r="I362" s="1"/>
      <c r="J362" s="8"/>
      <c r="K362" s="7"/>
      <c r="L362" s="1"/>
      <c r="O362" s="1"/>
      <c r="R362" s="1"/>
    </row>
    <row r="363" spans="7:18" x14ac:dyDescent="0.25">
      <c r="G363" s="1"/>
      <c r="H363" s="1"/>
      <c r="I363" s="1"/>
      <c r="J363" s="8"/>
      <c r="K363" s="7"/>
      <c r="L363" s="1"/>
      <c r="O363" s="1"/>
      <c r="R363" s="1"/>
    </row>
    <row r="364" spans="7:18" x14ac:dyDescent="0.25">
      <c r="G364" s="1"/>
      <c r="H364" s="1"/>
      <c r="I364" s="1"/>
      <c r="J364" s="8"/>
      <c r="K364" s="7"/>
      <c r="L364" s="1"/>
      <c r="O364" s="1"/>
      <c r="R364" s="1"/>
    </row>
    <row r="365" spans="7:18" x14ac:dyDescent="0.25">
      <c r="G365" s="1"/>
      <c r="H365" s="1"/>
      <c r="I365" s="1"/>
      <c r="J365" s="8"/>
      <c r="K365" s="7"/>
      <c r="L365" s="1"/>
      <c r="O365" s="1"/>
      <c r="R365" s="1"/>
    </row>
    <row r="366" spans="7:18" x14ac:dyDescent="0.25">
      <c r="G366" s="1"/>
      <c r="H366" s="1"/>
      <c r="I366" s="1"/>
      <c r="J366" s="8"/>
      <c r="K366" s="7"/>
      <c r="L366" s="1"/>
      <c r="O366" s="1"/>
      <c r="R366" s="1"/>
    </row>
    <row r="367" spans="7:18" x14ac:dyDescent="0.25">
      <c r="G367" s="1"/>
      <c r="H367" s="1"/>
      <c r="I367" s="1"/>
      <c r="J367" s="8"/>
      <c r="K367" s="7"/>
      <c r="L367" s="1"/>
      <c r="O367" s="1"/>
      <c r="R367" s="1"/>
    </row>
    <row r="368" spans="7:18" x14ac:dyDescent="0.25">
      <c r="G368" s="1"/>
      <c r="H368" s="1"/>
      <c r="I368" s="1"/>
      <c r="J368" s="8"/>
      <c r="K368" s="7"/>
      <c r="L368" s="1"/>
      <c r="O368" s="1"/>
      <c r="R368" s="1"/>
    </row>
    <row r="369" spans="7:18" x14ac:dyDescent="0.25">
      <c r="G369" s="1"/>
      <c r="H369" s="1"/>
      <c r="I369" s="1"/>
      <c r="J369" s="8"/>
      <c r="K369" s="7"/>
      <c r="L369" s="1"/>
      <c r="O369" s="1"/>
      <c r="R369" s="1"/>
    </row>
    <row r="370" spans="7:18" x14ac:dyDescent="0.25">
      <c r="G370" s="1"/>
      <c r="H370" s="1"/>
      <c r="I370" s="1"/>
      <c r="J370" s="8"/>
      <c r="K370" s="7"/>
      <c r="L370" s="1"/>
      <c r="O370" s="1"/>
      <c r="R370" s="1"/>
    </row>
    <row r="371" spans="7:18" x14ac:dyDescent="0.25">
      <c r="G371" s="1"/>
      <c r="H371" s="1"/>
      <c r="I371" s="1"/>
      <c r="J371" s="8"/>
      <c r="K371" s="7"/>
      <c r="L371" s="1"/>
      <c r="O371" s="1"/>
      <c r="R371" s="1"/>
    </row>
    <row r="372" spans="7:18" x14ac:dyDescent="0.25">
      <c r="G372" s="1"/>
      <c r="H372" s="1"/>
      <c r="I372" s="1"/>
      <c r="J372" s="8"/>
      <c r="K372" s="7"/>
      <c r="L372" s="1"/>
      <c r="O372" s="1"/>
      <c r="R372" s="1"/>
    </row>
    <row r="373" spans="7:18" x14ac:dyDescent="0.25">
      <c r="G373" s="1"/>
      <c r="H373" s="1"/>
      <c r="I373" s="1"/>
      <c r="J373" s="8"/>
      <c r="K373" s="7"/>
      <c r="L373" s="1"/>
      <c r="O373" s="1"/>
      <c r="R373" s="1"/>
    </row>
    <row r="374" spans="7:18" x14ac:dyDescent="0.25">
      <c r="G374" s="1"/>
      <c r="H374" s="1"/>
      <c r="I374" s="1"/>
      <c r="J374" s="8"/>
      <c r="K374" s="7"/>
      <c r="L374" s="1"/>
      <c r="O374" s="1"/>
      <c r="R374" s="1"/>
    </row>
    <row r="375" spans="7:18" x14ac:dyDescent="0.25">
      <c r="G375" s="1"/>
      <c r="H375" s="1"/>
      <c r="I375" s="1"/>
      <c r="J375" s="8"/>
      <c r="K375" s="7"/>
      <c r="L375" s="1"/>
      <c r="O375" s="1"/>
      <c r="R375" s="1"/>
    </row>
    <row r="376" spans="7:18" x14ac:dyDescent="0.25">
      <c r="G376" s="1"/>
      <c r="H376" s="1"/>
      <c r="I376" s="1"/>
      <c r="J376" s="8"/>
      <c r="K376" s="7"/>
      <c r="L376" s="1"/>
      <c r="O376" s="1"/>
      <c r="R376" s="1"/>
    </row>
    <row r="377" spans="7:18" x14ac:dyDescent="0.25">
      <c r="G377" s="1"/>
      <c r="H377" s="1"/>
      <c r="I377" s="1"/>
      <c r="J377" s="8"/>
      <c r="K377" s="7"/>
      <c r="L377" s="1"/>
      <c r="O377" s="1"/>
      <c r="R377" s="1"/>
    </row>
    <row r="378" spans="7:18" x14ac:dyDescent="0.25">
      <c r="G378" s="1"/>
      <c r="H378" s="1"/>
      <c r="I378" s="1"/>
      <c r="J378" s="8"/>
      <c r="K378" s="7"/>
      <c r="L378" s="1"/>
      <c r="O378" s="1"/>
      <c r="R378" s="1"/>
    </row>
    <row r="379" spans="7:18" x14ac:dyDescent="0.25">
      <c r="G379" s="1"/>
      <c r="H379" s="1"/>
      <c r="I379" s="1"/>
      <c r="J379" s="8"/>
      <c r="K379" s="7"/>
      <c r="L379" s="1"/>
      <c r="O379" s="1"/>
      <c r="R379" s="1"/>
    </row>
    <row r="380" spans="7:18" x14ac:dyDescent="0.25">
      <c r="G380" s="1"/>
      <c r="H380" s="1"/>
      <c r="I380" s="1"/>
      <c r="J380" s="8"/>
      <c r="K380" s="7"/>
      <c r="L380" s="1"/>
      <c r="O380" s="1"/>
      <c r="R380" s="1"/>
    </row>
    <row r="381" spans="7:18" x14ac:dyDescent="0.25">
      <c r="G381" s="1"/>
      <c r="H381" s="1"/>
      <c r="I381" s="1"/>
      <c r="J381" s="8"/>
      <c r="K381" s="7"/>
      <c r="L381" s="1"/>
      <c r="O381" s="1"/>
      <c r="R381" s="1"/>
    </row>
    <row r="382" spans="7:18" x14ac:dyDescent="0.25">
      <c r="G382" s="1"/>
      <c r="H382" s="1"/>
      <c r="I382" s="1"/>
      <c r="J382" s="8"/>
      <c r="K382" s="7"/>
      <c r="L382" s="1"/>
      <c r="O382" s="1"/>
      <c r="R382" s="1"/>
    </row>
    <row r="383" spans="7:18" x14ac:dyDescent="0.25">
      <c r="G383" s="1"/>
      <c r="H383" s="1"/>
      <c r="I383" s="1"/>
      <c r="J383" s="8"/>
      <c r="K383" s="7"/>
      <c r="L383" s="1"/>
      <c r="O383" s="1"/>
      <c r="R383" s="1"/>
    </row>
    <row r="384" spans="7:18" x14ac:dyDescent="0.25">
      <c r="G384" s="1"/>
      <c r="H384" s="1"/>
      <c r="I384" s="1"/>
      <c r="J384" s="8"/>
      <c r="K384" s="7"/>
      <c r="L384" s="1"/>
      <c r="O384" s="1"/>
      <c r="R384" s="1"/>
    </row>
    <row r="385" spans="7:18" x14ac:dyDescent="0.25">
      <c r="G385" s="1"/>
      <c r="H385" s="1"/>
      <c r="I385" s="1"/>
      <c r="J385" s="8"/>
      <c r="K385" s="7"/>
      <c r="L385" s="1"/>
      <c r="O385" s="1"/>
      <c r="R385" s="1"/>
    </row>
    <row r="386" spans="7:18" x14ac:dyDescent="0.25">
      <c r="G386" s="1"/>
      <c r="H386" s="1"/>
      <c r="I386" s="1"/>
      <c r="J386" s="8"/>
      <c r="K386" s="7"/>
      <c r="L386" s="1"/>
      <c r="O386" s="1"/>
      <c r="R386" s="1"/>
    </row>
    <row r="387" spans="7:18" x14ac:dyDescent="0.25">
      <c r="G387" s="1"/>
      <c r="H387" s="1"/>
      <c r="I387" s="1"/>
      <c r="J387" s="8"/>
      <c r="K387" s="7"/>
      <c r="L387" s="1"/>
      <c r="O387" s="1"/>
      <c r="R387" s="1"/>
    </row>
    <row r="388" spans="7:18" x14ac:dyDescent="0.25">
      <c r="G388" s="1"/>
      <c r="H388" s="1"/>
      <c r="I388" s="1"/>
      <c r="J388" s="8"/>
      <c r="K388" s="7"/>
      <c r="L388" s="1"/>
      <c r="O388" s="1"/>
      <c r="R388" s="1"/>
    </row>
    <row r="389" spans="7:18" x14ac:dyDescent="0.25">
      <c r="G389" s="1"/>
      <c r="H389" s="1"/>
      <c r="I389" s="1"/>
      <c r="J389" s="8"/>
      <c r="K389" s="7"/>
      <c r="L389" s="1"/>
      <c r="O389" s="1"/>
      <c r="R389" s="1"/>
    </row>
    <row r="390" spans="7:18" x14ac:dyDescent="0.25">
      <c r="G390" s="1"/>
      <c r="H390" s="1"/>
      <c r="I390" s="1"/>
      <c r="J390" s="8"/>
      <c r="K390" s="7"/>
      <c r="L390" s="1"/>
      <c r="O390" s="1"/>
      <c r="R390" s="1"/>
    </row>
    <row r="391" spans="7:18" x14ac:dyDescent="0.25">
      <c r="G391" s="1"/>
      <c r="H391" s="1"/>
      <c r="I391" s="1"/>
      <c r="J391" s="8"/>
      <c r="K391" s="7"/>
      <c r="L391" s="1"/>
      <c r="O391" s="1"/>
      <c r="R391" s="1"/>
    </row>
    <row r="392" spans="7:18" x14ac:dyDescent="0.25">
      <c r="G392" s="1"/>
      <c r="H392" s="1"/>
      <c r="I392" s="1"/>
      <c r="J392" s="8"/>
      <c r="K392" s="7"/>
      <c r="L392" s="1"/>
      <c r="O392" s="1"/>
      <c r="R392" s="1"/>
    </row>
    <row r="393" spans="7:18" x14ac:dyDescent="0.25">
      <c r="G393" s="1"/>
      <c r="H393" s="1"/>
      <c r="I393" s="1"/>
      <c r="J393" s="8"/>
      <c r="K393" s="7"/>
      <c r="L393" s="1"/>
      <c r="O393" s="1"/>
      <c r="R393" s="1"/>
    </row>
    <row r="394" spans="7:18" x14ac:dyDescent="0.25">
      <c r="G394" s="1"/>
      <c r="H394" s="1"/>
      <c r="I394" s="1"/>
      <c r="J394" s="8"/>
      <c r="K394" s="7"/>
      <c r="L394" s="1"/>
      <c r="O394" s="1"/>
      <c r="R394" s="1"/>
    </row>
    <row r="395" spans="7:18" x14ac:dyDescent="0.25">
      <c r="G395" s="1"/>
      <c r="H395" s="1"/>
      <c r="I395" s="1"/>
      <c r="J395" s="8"/>
      <c r="K395" s="7"/>
      <c r="L395" s="1"/>
      <c r="O395" s="1"/>
      <c r="R395" s="1"/>
    </row>
    <row r="396" spans="7:18" x14ac:dyDescent="0.25">
      <c r="G396" s="1"/>
      <c r="H396" s="1"/>
      <c r="I396" s="1"/>
      <c r="J396" s="8"/>
      <c r="K396" s="7"/>
      <c r="L396" s="1"/>
      <c r="O396" s="1"/>
      <c r="R396" s="1"/>
    </row>
    <row r="397" spans="7:18" x14ac:dyDescent="0.25">
      <c r="G397" s="1"/>
      <c r="H397" s="1"/>
      <c r="I397" s="1"/>
      <c r="J397" s="8"/>
      <c r="K397" s="7"/>
      <c r="L397" s="1"/>
      <c r="O397" s="1"/>
      <c r="R397" s="1"/>
    </row>
    <row r="398" spans="7:18" x14ac:dyDescent="0.25">
      <c r="G398" s="1"/>
      <c r="H398" s="1"/>
      <c r="I398" s="1"/>
      <c r="J398" s="8"/>
      <c r="K398" s="7"/>
      <c r="L398" s="1"/>
      <c r="O398" s="1"/>
      <c r="R398" s="1"/>
    </row>
    <row r="399" spans="7:18" x14ac:dyDescent="0.25">
      <c r="G399" s="1"/>
      <c r="H399" s="1"/>
      <c r="I399" s="1"/>
      <c r="J399" s="8"/>
      <c r="K399" s="7"/>
      <c r="L399" s="1"/>
      <c r="O399" s="1"/>
      <c r="R399" s="1"/>
    </row>
    <row r="400" spans="7:18" x14ac:dyDescent="0.25">
      <c r="G400" s="1"/>
      <c r="H400" s="1"/>
      <c r="I400" s="1"/>
      <c r="J400" s="8"/>
      <c r="K400" s="7"/>
      <c r="L400" s="1"/>
      <c r="O400" s="1"/>
      <c r="R400" s="1"/>
    </row>
    <row r="401" spans="7:18" x14ac:dyDescent="0.25">
      <c r="G401" s="1"/>
      <c r="H401" s="1"/>
      <c r="I401" s="1"/>
      <c r="J401" s="8"/>
      <c r="K401" s="7"/>
      <c r="L401" s="1"/>
      <c r="O401" s="1"/>
      <c r="R401" s="1"/>
    </row>
    <row r="402" spans="7:18" x14ac:dyDescent="0.25">
      <c r="G402" s="1"/>
      <c r="H402" s="1"/>
      <c r="I402" s="1"/>
      <c r="J402" s="8"/>
      <c r="K402" s="7"/>
      <c r="L402" s="1"/>
      <c r="O402" s="1"/>
      <c r="R402" s="1"/>
    </row>
    <row r="403" spans="7:18" x14ac:dyDescent="0.25">
      <c r="G403" s="1"/>
      <c r="H403" s="1"/>
      <c r="I403" s="1"/>
      <c r="J403" s="8"/>
      <c r="K403" s="7"/>
      <c r="L403" s="1"/>
      <c r="O403" s="1"/>
      <c r="R403" s="1"/>
    </row>
    <row r="404" spans="7:18" x14ac:dyDescent="0.25">
      <c r="G404" s="1"/>
      <c r="H404" s="1"/>
      <c r="I404" s="1"/>
      <c r="J404" s="8"/>
      <c r="K404" s="7"/>
      <c r="L404" s="1"/>
      <c r="O404" s="1"/>
      <c r="R404" s="1"/>
    </row>
    <row r="405" spans="7:18" x14ac:dyDescent="0.25">
      <c r="G405" s="1"/>
      <c r="H405" s="1"/>
      <c r="I405" s="1"/>
      <c r="J405" s="8"/>
      <c r="K405" s="7"/>
      <c r="L405" s="1"/>
      <c r="O405" s="1"/>
      <c r="R405" s="1"/>
    </row>
    <row r="406" spans="7:18" x14ac:dyDescent="0.25">
      <c r="G406" s="1"/>
      <c r="H406" s="1"/>
      <c r="I406" s="1"/>
      <c r="J406" s="8"/>
      <c r="K406" s="7"/>
      <c r="L406" s="1"/>
      <c r="O406" s="1"/>
      <c r="R406" s="1"/>
    </row>
    <row r="407" spans="7:18" x14ac:dyDescent="0.25">
      <c r="G407" s="1"/>
      <c r="H407" s="1"/>
      <c r="I407" s="1"/>
      <c r="J407" s="8"/>
      <c r="K407" s="7"/>
      <c r="L407" s="1"/>
      <c r="O407" s="1"/>
      <c r="R407" s="1"/>
    </row>
    <row r="408" spans="7:18" x14ac:dyDescent="0.25">
      <c r="G408" s="1"/>
      <c r="H408" s="1"/>
      <c r="I408" s="1"/>
      <c r="J408" s="8"/>
      <c r="K408" s="7"/>
      <c r="L408" s="1"/>
      <c r="O408" s="1"/>
      <c r="R408" s="1"/>
    </row>
    <row r="409" spans="7:18" x14ac:dyDescent="0.25">
      <c r="G409" s="1"/>
      <c r="H409" s="1"/>
      <c r="I409" s="1"/>
      <c r="J409" s="8"/>
      <c r="K409" s="7"/>
      <c r="L409" s="1"/>
      <c r="O409" s="1"/>
      <c r="R409" s="1"/>
    </row>
    <row r="410" spans="7:18" x14ac:dyDescent="0.25">
      <c r="G410" s="1"/>
      <c r="H410" s="1"/>
      <c r="I410" s="1"/>
      <c r="J410" s="8"/>
      <c r="K410" s="7"/>
      <c r="L410" s="1"/>
      <c r="O410" s="1"/>
      <c r="R410" s="1"/>
    </row>
    <row r="411" spans="7:18" x14ac:dyDescent="0.25">
      <c r="G411" s="1"/>
      <c r="H411" s="1"/>
      <c r="I411" s="1"/>
      <c r="J411" s="8"/>
      <c r="K411" s="7"/>
      <c r="L411" s="1"/>
      <c r="O411" s="1"/>
      <c r="R411" s="1"/>
    </row>
    <row r="412" spans="7:18" x14ac:dyDescent="0.25">
      <c r="G412" s="1"/>
      <c r="H412" s="1"/>
      <c r="I412" s="1"/>
      <c r="J412" s="8"/>
      <c r="K412" s="7"/>
      <c r="L412" s="1"/>
      <c r="O412" s="1"/>
      <c r="R412" s="1"/>
    </row>
    <row r="413" spans="7:18" x14ac:dyDescent="0.25">
      <c r="G413" s="1"/>
      <c r="H413" s="1"/>
      <c r="I413" s="1"/>
      <c r="J413" s="8"/>
      <c r="K413" s="7"/>
      <c r="L413" s="1"/>
      <c r="O413" s="1"/>
      <c r="R413" s="1"/>
    </row>
    <row r="414" spans="7:18" x14ac:dyDescent="0.25">
      <c r="G414" s="1"/>
      <c r="H414" s="1"/>
      <c r="I414" s="1"/>
      <c r="J414" s="8"/>
      <c r="K414" s="7"/>
      <c r="L414" s="1"/>
      <c r="O414" s="1"/>
      <c r="R414" s="1"/>
    </row>
    <row r="415" spans="7:18" x14ac:dyDescent="0.25">
      <c r="G415" s="1"/>
      <c r="H415" s="1"/>
      <c r="I415" s="1"/>
      <c r="J415" s="8"/>
      <c r="K415" s="7"/>
      <c r="L415" s="1"/>
      <c r="O415" s="1"/>
      <c r="R415" s="1"/>
    </row>
    <row r="416" spans="7:18" x14ac:dyDescent="0.25">
      <c r="G416" s="1"/>
      <c r="H416" s="1"/>
      <c r="I416" s="1"/>
      <c r="J416" s="8"/>
      <c r="K416" s="7"/>
      <c r="L416" s="1"/>
      <c r="O416" s="1"/>
      <c r="R416" s="1"/>
    </row>
    <row r="417" spans="7:18" x14ac:dyDescent="0.25">
      <c r="G417" s="1"/>
      <c r="H417" s="1"/>
      <c r="I417" s="1"/>
      <c r="J417" s="8"/>
      <c r="K417" s="7"/>
      <c r="L417" s="1"/>
      <c r="O417" s="1"/>
      <c r="R417" s="1"/>
    </row>
    <row r="418" spans="7:18" x14ac:dyDescent="0.25">
      <c r="G418" s="1"/>
      <c r="H418" s="1"/>
      <c r="I418" s="1"/>
      <c r="J418" s="8"/>
      <c r="K418" s="7"/>
      <c r="L418" s="1"/>
      <c r="O418" s="1"/>
      <c r="R418" s="1"/>
    </row>
    <row r="419" spans="7:18" x14ac:dyDescent="0.25">
      <c r="G419" s="1"/>
      <c r="H419" s="1"/>
      <c r="I419" s="1"/>
      <c r="J419" s="8"/>
      <c r="K419" s="7"/>
      <c r="L419" s="1"/>
      <c r="O419" s="1"/>
      <c r="R419" s="1"/>
    </row>
    <row r="420" spans="7:18" x14ac:dyDescent="0.25">
      <c r="G420" s="1"/>
      <c r="H420" s="1"/>
      <c r="I420" s="1"/>
      <c r="J420" s="8"/>
      <c r="K420" s="7"/>
      <c r="L420" s="1"/>
      <c r="O420" s="1"/>
      <c r="R420" s="1"/>
    </row>
    <row r="421" spans="7:18" x14ac:dyDescent="0.25">
      <c r="G421" s="1"/>
      <c r="H421" s="1"/>
      <c r="I421" s="1"/>
      <c r="J421" s="8"/>
      <c r="K421" s="7"/>
      <c r="L421" s="1"/>
      <c r="O421" s="1"/>
      <c r="R421" s="1"/>
    </row>
    <row r="422" spans="7:18" x14ac:dyDescent="0.25">
      <c r="G422" s="1"/>
      <c r="H422" s="1"/>
      <c r="I422" s="1"/>
      <c r="J422" s="8"/>
      <c r="K422" s="7"/>
      <c r="L422" s="1"/>
      <c r="O422" s="1"/>
      <c r="R422" s="1"/>
    </row>
    <row r="423" spans="7:18" x14ac:dyDescent="0.25">
      <c r="G423" s="1"/>
      <c r="H423" s="1"/>
      <c r="I423" s="1"/>
      <c r="J423" s="8"/>
      <c r="K423" s="7"/>
      <c r="L423" s="1"/>
      <c r="O423" s="1"/>
      <c r="R423" s="1"/>
    </row>
    <row r="424" spans="7:18" x14ac:dyDescent="0.25">
      <c r="G424" s="1"/>
      <c r="H424" s="1"/>
      <c r="I424" s="1"/>
      <c r="J424" s="8"/>
      <c r="K424" s="7"/>
      <c r="L424" s="1"/>
      <c r="O424" s="1"/>
      <c r="R424" s="1"/>
    </row>
    <row r="425" spans="7:18" x14ac:dyDescent="0.25">
      <c r="G425" s="1"/>
      <c r="H425" s="1"/>
      <c r="I425" s="1"/>
      <c r="J425" s="8"/>
      <c r="K425" s="7"/>
      <c r="L425" s="1"/>
      <c r="O425" s="1"/>
      <c r="R425" s="1"/>
    </row>
    <row r="426" spans="7:18" x14ac:dyDescent="0.25">
      <c r="G426" s="1"/>
      <c r="H426" s="1"/>
      <c r="I426" s="1"/>
      <c r="J426" s="8"/>
      <c r="K426" s="7"/>
      <c r="L426" s="1"/>
      <c r="O426" s="1"/>
      <c r="R426" s="1"/>
    </row>
    <row r="427" spans="7:18" x14ac:dyDescent="0.25">
      <c r="G427" s="1"/>
      <c r="H427" s="1"/>
      <c r="I427" s="1"/>
      <c r="J427" s="8"/>
      <c r="K427" s="7"/>
      <c r="L427" s="1"/>
      <c r="O427" s="1"/>
      <c r="R427" s="1"/>
    </row>
    <row r="428" spans="7:18" x14ac:dyDescent="0.25">
      <c r="G428" s="1"/>
      <c r="H428" s="1"/>
      <c r="I428" s="1"/>
      <c r="J428" s="8"/>
      <c r="K428" s="7"/>
      <c r="L428" s="1"/>
      <c r="O428" s="1"/>
      <c r="R428" s="1"/>
    </row>
    <row r="429" spans="7:18" x14ac:dyDescent="0.25">
      <c r="G429" s="1"/>
      <c r="H429" s="1"/>
      <c r="I429" s="1"/>
      <c r="J429" s="8"/>
      <c r="K429" s="7"/>
      <c r="L429" s="1"/>
      <c r="O429" s="1"/>
      <c r="R429" s="1"/>
    </row>
    <row r="430" spans="7:18" x14ac:dyDescent="0.25">
      <c r="G430" s="1"/>
      <c r="H430" s="1"/>
      <c r="I430" s="1"/>
      <c r="J430" s="8"/>
      <c r="K430" s="7"/>
      <c r="L430" s="1"/>
      <c r="O430" s="1"/>
      <c r="R430" s="1"/>
    </row>
    <row r="431" spans="7:18" x14ac:dyDescent="0.25">
      <c r="G431" s="1"/>
      <c r="H431" s="1"/>
      <c r="I431" s="1"/>
      <c r="J431" s="8"/>
      <c r="K431" s="7"/>
      <c r="L431" s="1"/>
      <c r="O431" s="1"/>
      <c r="R431" s="1"/>
    </row>
    <row r="432" spans="7:18" x14ac:dyDescent="0.25">
      <c r="G432" s="1"/>
      <c r="H432" s="1"/>
      <c r="I432" s="1"/>
      <c r="J432" s="8"/>
      <c r="K432" s="7"/>
      <c r="L432" s="1"/>
      <c r="O432" s="1"/>
      <c r="R432" s="1"/>
    </row>
    <row r="433" spans="7:18" x14ac:dyDescent="0.25">
      <c r="G433" s="1"/>
      <c r="H433" s="1"/>
      <c r="I433" s="1"/>
      <c r="J433" s="8"/>
      <c r="K433" s="7"/>
      <c r="L433" s="1"/>
      <c r="O433" s="1"/>
      <c r="R433" s="1"/>
    </row>
    <row r="434" spans="7:18" x14ac:dyDescent="0.25">
      <c r="G434" s="1"/>
      <c r="H434" s="1"/>
      <c r="I434" s="1"/>
      <c r="J434" s="8"/>
      <c r="K434" s="7"/>
      <c r="L434" s="1"/>
      <c r="O434" s="1"/>
      <c r="R434" s="1"/>
    </row>
    <row r="435" spans="7:18" x14ac:dyDescent="0.25">
      <c r="G435" s="1"/>
      <c r="H435" s="1"/>
      <c r="I435" s="1"/>
      <c r="J435" s="8"/>
      <c r="K435" s="7"/>
      <c r="L435" s="1"/>
      <c r="O435" s="1"/>
      <c r="R435" s="1"/>
    </row>
    <row r="436" spans="7:18" x14ac:dyDescent="0.25">
      <c r="G436" s="1"/>
      <c r="H436" s="1"/>
      <c r="I436" s="1"/>
      <c r="J436" s="8"/>
      <c r="K436" s="7"/>
      <c r="L436" s="1"/>
      <c r="O436" s="1"/>
      <c r="R436" s="1"/>
    </row>
    <row r="437" spans="7:18" x14ac:dyDescent="0.25">
      <c r="G437" s="1"/>
      <c r="H437" s="1"/>
      <c r="I437" s="1"/>
      <c r="J437" s="8"/>
      <c r="K437" s="7"/>
      <c r="L437" s="1"/>
      <c r="O437" s="1"/>
      <c r="R437" s="1"/>
    </row>
    <row r="438" spans="7:18" x14ac:dyDescent="0.25">
      <c r="G438" s="1"/>
      <c r="H438" s="1"/>
      <c r="I438" s="1"/>
      <c r="J438" s="8"/>
      <c r="K438" s="7"/>
      <c r="L438" s="1"/>
      <c r="O438" s="1"/>
      <c r="R438" s="1"/>
    </row>
    <row r="439" spans="7:18" x14ac:dyDescent="0.25">
      <c r="G439" s="1"/>
      <c r="H439" s="1"/>
      <c r="I439" s="1"/>
      <c r="J439" s="8"/>
      <c r="K439" s="7"/>
      <c r="L439" s="1"/>
      <c r="O439" s="1"/>
      <c r="R439" s="1"/>
    </row>
    <row r="440" spans="7:18" x14ac:dyDescent="0.25">
      <c r="G440" s="1"/>
      <c r="H440" s="1"/>
      <c r="I440" s="1"/>
      <c r="J440" s="8"/>
      <c r="K440" s="7"/>
      <c r="L440" s="1"/>
      <c r="O440" s="1"/>
      <c r="R440" s="1"/>
    </row>
    <row r="441" spans="7:18" x14ac:dyDescent="0.25">
      <c r="G441" s="1"/>
      <c r="H441" s="1"/>
      <c r="I441" s="1"/>
      <c r="J441" s="8"/>
      <c r="K441" s="7"/>
      <c r="L441" s="1"/>
      <c r="O441" s="1"/>
      <c r="R441" s="1"/>
    </row>
    <row r="442" spans="7:18" x14ac:dyDescent="0.25">
      <c r="G442" s="1"/>
      <c r="H442" s="1"/>
      <c r="I442" s="1"/>
      <c r="J442" s="8"/>
      <c r="K442" s="7"/>
      <c r="L442" s="1"/>
      <c r="O442" s="1"/>
      <c r="R442" s="1"/>
    </row>
    <row r="443" spans="7:18" x14ac:dyDescent="0.25">
      <c r="G443" s="1"/>
      <c r="H443" s="1"/>
      <c r="I443" s="1"/>
      <c r="J443" s="8"/>
      <c r="K443" s="7"/>
      <c r="L443" s="1"/>
      <c r="O443" s="1"/>
      <c r="R443" s="1"/>
    </row>
    <row r="444" spans="7:18" x14ac:dyDescent="0.25">
      <c r="G444" s="1"/>
      <c r="H444" s="1"/>
      <c r="I444" s="1"/>
      <c r="J444" s="8"/>
      <c r="K444" s="7"/>
      <c r="L444" s="1"/>
      <c r="O444" s="1"/>
      <c r="R444" s="1"/>
    </row>
    <row r="445" spans="7:18" x14ac:dyDescent="0.25">
      <c r="G445" s="1"/>
      <c r="H445" s="1"/>
      <c r="I445" s="1"/>
      <c r="J445" s="8"/>
      <c r="K445" s="7"/>
      <c r="L445" s="1"/>
      <c r="O445" s="1"/>
      <c r="R445" s="1"/>
    </row>
    <row r="446" spans="7:18" x14ac:dyDescent="0.25">
      <c r="G446" s="1"/>
      <c r="H446" s="1"/>
      <c r="I446" s="1"/>
      <c r="J446" s="8"/>
      <c r="K446" s="7"/>
      <c r="L446" s="1"/>
      <c r="O446" s="1"/>
      <c r="R446" s="1"/>
    </row>
    <row r="447" spans="7:18" x14ac:dyDescent="0.25">
      <c r="G447" s="1"/>
      <c r="H447" s="1"/>
      <c r="I447" s="1"/>
      <c r="J447" s="8"/>
      <c r="K447" s="7"/>
      <c r="L447" s="1"/>
      <c r="O447" s="1"/>
      <c r="R447" s="1"/>
    </row>
    <row r="448" spans="7:18" x14ac:dyDescent="0.25">
      <c r="G448" s="1"/>
      <c r="H448" s="1"/>
      <c r="I448" s="1"/>
      <c r="J448" s="8"/>
      <c r="K448" s="7"/>
      <c r="L448" s="1"/>
      <c r="O448" s="1"/>
      <c r="R448" s="1"/>
    </row>
    <row r="449" spans="7:18" x14ac:dyDescent="0.25">
      <c r="G449" s="1"/>
      <c r="H449" s="1"/>
      <c r="I449" s="1"/>
      <c r="J449" s="8"/>
      <c r="K449" s="7"/>
      <c r="L449" s="1"/>
      <c r="O449" s="1"/>
      <c r="R449" s="1"/>
    </row>
    <row r="450" spans="7:18" x14ac:dyDescent="0.25">
      <c r="G450" s="1"/>
      <c r="H450" s="1"/>
      <c r="I450" s="1"/>
      <c r="J450" s="8"/>
      <c r="K450" s="7"/>
      <c r="L450" s="1"/>
      <c r="O450" s="1"/>
      <c r="R450" s="1"/>
    </row>
    <row r="451" spans="7:18" x14ac:dyDescent="0.25">
      <c r="G451" s="1"/>
      <c r="H451" s="1"/>
      <c r="I451" s="1"/>
      <c r="J451" s="8"/>
      <c r="K451" s="7"/>
      <c r="L451" s="1"/>
      <c r="O451" s="1"/>
      <c r="R451" s="1"/>
    </row>
    <row r="452" spans="7:18" x14ac:dyDescent="0.25">
      <c r="G452" s="1"/>
      <c r="H452" s="1"/>
      <c r="I452" s="1"/>
      <c r="J452" s="8"/>
      <c r="K452" s="7"/>
      <c r="L452" s="1"/>
      <c r="O452" s="1"/>
      <c r="R452" s="1"/>
    </row>
    <row r="453" spans="7:18" x14ac:dyDescent="0.25">
      <c r="G453" s="1"/>
      <c r="H453" s="1"/>
      <c r="I453" s="1"/>
      <c r="J453" s="8"/>
      <c r="K453" s="7"/>
      <c r="L453" s="1"/>
      <c r="O453" s="1"/>
      <c r="R453" s="1"/>
    </row>
    <row r="454" spans="7:18" x14ac:dyDescent="0.25">
      <c r="G454" s="1"/>
      <c r="H454" s="1"/>
      <c r="I454" s="1"/>
      <c r="J454" s="8"/>
      <c r="K454" s="7"/>
      <c r="L454" s="1"/>
      <c r="O454" s="1"/>
      <c r="R454" s="1"/>
    </row>
    <row r="455" spans="7:18" x14ac:dyDescent="0.25">
      <c r="G455" s="1"/>
      <c r="H455" s="1"/>
      <c r="I455" s="1"/>
      <c r="J455" s="8"/>
      <c r="K455" s="7"/>
      <c r="L455" s="1"/>
      <c r="O455" s="1"/>
      <c r="R455" s="1"/>
    </row>
    <row r="456" spans="7:18" x14ac:dyDescent="0.25">
      <c r="G456" s="1"/>
      <c r="H456" s="1"/>
      <c r="I456" s="1"/>
      <c r="J456" s="8"/>
      <c r="K456" s="7"/>
      <c r="L456" s="1"/>
      <c r="O456" s="1"/>
      <c r="R456" s="1"/>
    </row>
    <row r="457" spans="7:18" x14ac:dyDescent="0.25">
      <c r="G457" s="1"/>
      <c r="H457" s="1"/>
      <c r="I457" s="1"/>
      <c r="J457" s="8"/>
      <c r="K457" s="7"/>
      <c r="L457" s="1"/>
      <c r="O457" s="1"/>
      <c r="R457" s="1"/>
    </row>
    <row r="458" spans="7:18" x14ac:dyDescent="0.25">
      <c r="G458" s="1"/>
      <c r="H458" s="1"/>
      <c r="I458" s="1"/>
      <c r="J458" s="8"/>
      <c r="K458" s="7"/>
      <c r="L458" s="1"/>
      <c r="O458" s="1"/>
      <c r="R458" s="1"/>
    </row>
    <row r="459" spans="7:18" x14ac:dyDescent="0.25">
      <c r="G459" s="1"/>
      <c r="H459" s="1"/>
      <c r="I459" s="1"/>
      <c r="J459" s="8"/>
      <c r="K459" s="7"/>
      <c r="L459" s="1"/>
      <c r="O459" s="1"/>
      <c r="R459" s="1"/>
    </row>
    <row r="460" spans="7:18" x14ac:dyDescent="0.25">
      <c r="G460" s="1"/>
      <c r="H460" s="1"/>
      <c r="I460" s="1"/>
      <c r="J460" s="8"/>
      <c r="K460" s="7"/>
      <c r="L460" s="1"/>
      <c r="O460" s="1"/>
      <c r="R460" s="1"/>
    </row>
    <row r="461" spans="7:18" x14ac:dyDescent="0.25">
      <c r="G461" s="1"/>
      <c r="H461" s="1"/>
      <c r="I461" s="1"/>
      <c r="J461" s="8"/>
      <c r="K461" s="7"/>
      <c r="L461" s="1"/>
      <c r="O461" s="1"/>
      <c r="R461" s="1"/>
    </row>
    <row r="462" spans="7:18" x14ac:dyDescent="0.25">
      <c r="G462" s="1"/>
      <c r="H462" s="1"/>
      <c r="I462" s="1"/>
      <c r="J462" s="8"/>
      <c r="K462" s="7"/>
      <c r="L462" s="1"/>
      <c r="O462" s="1"/>
      <c r="R462" s="1"/>
    </row>
    <row r="463" spans="7:18" x14ac:dyDescent="0.25">
      <c r="G463" s="1"/>
      <c r="H463" s="1"/>
      <c r="I463" s="1"/>
      <c r="J463" s="8"/>
      <c r="K463" s="7"/>
      <c r="L463" s="1"/>
      <c r="O463" s="1"/>
      <c r="R463" s="1"/>
    </row>
    <row r="464" spans="7:18" x14ac:dyDescent="0.25">
      <c r="G464" s="1"/>
      <c r="H464" s="1"/>
      <c r="I464" s="1"/>
      <c r="J464" s="8"/>
      <c r="K464" s="7"/>
      <c r="L464" s="1"/>
      <c r="O464" s="1"/>
      <c r="R464" s="1"/>
    </row>
    <row r="465" spans="7:18" x14ac:dyDescent="0.25">
      <c r="G465" s="1"/>
      <c r="H465" s="1"/>
      <c r="I465" s="1"/>
      <c r="J465" s="8"/>
      <c r="K465" s="7"/>
      <c r="L465" s="1"/>
      <c r="O465" s="1"/>
      <c r="R465" s="1"/>
    </row>
    <row r="466" spans="7:18" x14ac:dyDescent="0.25">
      <c r="G466" s="1"/>
      <c r="H466" s="1"/>
      <c r="I466" s="1"/>
      <c r="J466" s="8"/>
      <c r="K466" s="7"/>
      <c r="L466" s="1"/>
      <c r="O466" s="1"/>
      <c r="R466" s="1"/>
    </row>
    <row r="467" spans="7:18" x14ac:dyDescent="0.25">
      <c r="G467" s="1"/>
      <c r="H467" s="1"/>
      <c r="I467" s="1"/>
      <c r="J467" s="8"/>
      <c r="K467" s="7"/>
      <c r="L467" s="1"/>
      <c r="O467" s="1"/>
      <c r="R467" s="1"/>
    </row>
    <row r="468" spans="7:18" x14ac:dyDescent="0.25">
      <c r="G468" s="1"/>
      <c r="H468" s="1"/>
      <c r="I468" s="1"/>
      <c r="J468" s="8"/>
      <c r="K468" s="7"/>
      <c r="L468" s="1"/>
      <c r="O468" s="1"/>
      <c r="R468" s="1"/>
    </row>
    <row r="469" spans="7:18" x14ac:dyDescent="0.25">
      <c r="G469" s="1"/>
      <c r="H469" s="1"/>
      <c r="I469" s="1"/>
      <c r="J469" s="8"/>
      <c r="K469" s="7"/>
      <c r="L469" s="1"/>
      <c r="O469" s="1"/>
      <c r="R469" s="1"/>
    </row>
    <row r="470" spans="7:18" x14ac:dyDescent="0.25">
      <c r="G470" s="1"/>
      <c r="H470" s="1"/>
      <c r="I470" s="1"/>
      <c r="J470" s="8"/>
      <c r="K470" s="7"/>
      <c r="L470" s="1"/>
      <c r="O470" s="1"/>
      <c r="R470" s="1"/>
    </row>
    <row r="471" spans="7:18" x14ac:dyDescent="0.25">
      <c r="G471" s="1"/>
      <c r="H471" s="1"/>
      <c r="I471" s="1"/>
      <c r="J471" s="8"/>
      <c r="K471" s="7"/>
      <c r="L471" s="1"/>
      <c r="O471" s="1"/>
      <c r="R471" s="1"/>
    </row>
    <row r="472" spans="7:18" x14ac:dyDescent="0.25">
      <c r="G472" s="1"/>
      <c r="H472" s="1"/>
      <c r="I472" s="1"/>
      <c r="J472" s="8"/>
      <c r="K472" s="7"/>
      <c r="L472" s="1"/>
      <c r="O472" s="1"/>
      <c r="R472" s="1"/>
    </row>
    <row r="473" spans="7:18" x14ac:dyDescent="0.25">
      <c r="G473" s="1"/>
      <c r="H473" s="1"/>
      <c r="I473" s="1"/>
      <c r="J473" s="8"/>
      <c r="K473" s="7"/>
      <c r="L473" s="1"/>
      <c r="O473" s="1"/>
      <c r="R473" s="1"/>
    </row>
    <row r="474" spans="7:18" x14ac:dyDescent="0.25">
      <c r="G474" s="1"/>
      <c r="H474" s="1"/>
      <c r="I474" s="1"/>
      <c r="J474" s="8"/>
      <c r="K474" s="7"/>
      <c r="L474" s="1"/>
      <c r="O474" s="1"/>
      <c r="R474" s="1"/>
    </row>
    <row r="475" spans="7:18" x14ac:dyDescent="0.25">
      <c r="G475" s="1"/>
      <c r="H475" s="1"/>
      <c r="I475" s="1"/>
      <c r="J475" s="8"/>
      <c r="K475" s="7"/>
      <c r="L475" s="1"/>
      <c r="O475" s="1"/>
      <c r="R475" s="1"/>
    </row>
    <row r="476" spans="7:18" x14ac:dyDescent="0.25">
      <c r="G476" s="1"/>
      <c r="H476" s="1"/>
      <c r="I476" s="1"/>
      <c r="J476" s="8"/>
      <c r="K476" s="7"/>
      <c r="L476" s="1"/>
      <c r="O476" s="1"/>
      <c r="R476" s="1"/>
    </row>
    <row r="477" spans="7:18" x14ac:dyDescent="0.25">
      <c r="G477" s="1"/>
      <c r="H477" s="1"/>
      <c r="I477" s="1"/>
      <c r="J477" s="8"/>
      <c r="K477" s="7"/>
      <c r="L477" s="1"/>
      <c r="O477" s="1"/>
      <c r="R477" s="1"/>
    </row>
    <row r="478" spans="7:18" x14ac:dyDescent="0.25">
      <c r="G478" s="1"/>
      <c r="H478" s="1"/>
      <c r="I478" s="1"/>
      <c r="J478" s="8"/>
      <c r="K478" s="7"/>
      <c r="L478" s="1"/>
      <c r="O478" s="1"/>
      <c r="R478" s="1"/>
    </row>
    <row r="479" spans="7:18" x14ac:dyDescent="0.25">
      <c r="G479" s="1"/>
      <c r="H479" s="1"/>
      <c r="I479" s="1"/>
      <c r="J479" s="8"/>
      <c r="K479" s="7"/>
      <c r="L479" s="1"/>
      <c r="O479" s="1"/>
      <c r="R479" s="1"/>
    </row>
    <row r="480" spans="7:18" x14ac:dyDescent="0.25">
      <c r="G480" s="1"/>
      <c r="H480" s="1"/>
      <c r="I480" s="1"/>
      <c r="J480" s="8"/>
      <c r="K480" s="7"/>
      <c r="L480" s="1"/>
      <c r="O480" s="1"/>
      <c r="R480" s="1"/>
    </row>
    <row r="481" spans="7:18" x14ac:dyDescent="0.25">
      <c r="G481" s="1"/>
      <c r="H481" s="1"/>
      <c r="I481" s="1"/>
      <c r="J481" s="8"/>
      <c r="K481" s="7"/>
      <c r="L481" s="1"/>
      <c r="O481" s="1"/>
      <c r="R481" s="1"/>
    </row>
    <row r="482" spans="7:18" x14ac:dyDescent="0.25">
      <c r="G482" s="1"/>
      <c r="H482" s="1"/>
      <c r="I482" s="1"/>
      <c r="J482" s="8"/>
      <c r="K482" s="7"/>
      <c r="L482" s="1"/>
      <c r="O482" s="1"/>
      <c r="R482" s="1"/>
    </row>
    <row r="483" spans="7:18" x14ac:dyDescent="0.25">
      <c r="G483" s="1"/>
      <c r="H483" s="1"/>
      <c r="I483" s="1"/>
      <c r="J483" s="8"/>
      <c r="K483" s="7"/>
      <c r="L483" s="1"/>
      <c r="O483" s="1"/>
      <c r="R483" s="1"/>
    </row>
    <row r="484" spans="7:18" x14ac:dyDescent="0.25">
      <c r="G484" s="1"/>
      <c r="H484" s="1"/>
      <c r="I484" s="1"/>
      <c r="J484" s="8"/>
      <c r="K484" s="7"/>
      <c r="L484" s="1"/>
      <c r="O484" s="1"/>
      <c r="R484" s="1"/>
    </row>
    <row r="485" spans="7:18" x14ac:dyDescent="0.25">
      <c r="G485" s="1"/>
      <c r="H485" s="1"/>
      <c r="I485" s="1"/>
      <c r="J485" s="8"/>
      <c r="K485" s="7"/>
      <c r="L485" s="1"/>
      <c r="O485" s="1"/>
      <c r="R485" s="1"/>
    </row>
    <row r="486" spans="7:18" x14ac:dyDescent="0.25">
      <c r="G486" s="1"/>
      <c r="H486" s="1"/>
      <c r="I486" s="1"/>
      <c r="J486" s="8"/>
      <c r="K486" s="7"/>
      <c r="L486" s="1"/>
      <c r="O486" s="1"/>
      <c r="R486" s="1"/>
    </row>
    <row r="487" spans="7:18" x14ac:dyDescent="0.25">
      <c r="G487" s="1"/>
      <c r="H487" s="1"/>
      <c r="I487" s="1"/>
      <c r="J487" s="8"/>
      <c r="K487" s="7"/>
      <c r="L487" s="1"/>
      <c r="O487" s="1"/>
      <c r="R487" s="1"/>
    </row>
    <row r="488" spans="7:18" x14ac:dyDescent="0.25">
      <c r="G488" s="1"/>
      <c r="H488" s="1"/>
      <c r="I488" s="1"/>
      <c r="J488" s="8"/>
      <c r="K488" s="7"/>
      <c r="L488" s="1"/>
      <c r="O488" s="1"/>
      <c r="R488" s="1"/>
    </row>
    <row r="489" spans="7:18" x14ac:dyDescent="0.25">
      <c r="G489" s="1"/>
      <c r="H489" s="1"/>
      <c r="I489" s="1"/>
      <c r="J489" s="8"/>
      <c r="K489" s="7"/>
      <c r="L489" s="1"/>
      <c r="O489" s="1"/>
      <c r="R489" s="1"/>
    </row>
    <row r="490" spans="7:18" x14ac:dyDescent="0.25">
      <c r="G490" s="1"/>
      <c r="H490" s="1"/>
      <c r="I490" s="1"/>
      <c r="J490" s="8"/>
      <c r="K490" s="7"/>
      <c r="L490" s="1"/>
      <c r="O490" s="1"/>
      <c r="R490" s="1"/>
    </row>
    <row r="491" spans="7:18" x14ac:dyDescent="0.25">
      <c r="G491" s="1"/>
      <c r="H491" s="1"/>
      <c r="I491" s="1"/>
      <c r="J491" s="8"/>
      <c r="K491" s="7"/>
      <c r="L491" s="1"/>
      <c r="O491" s="1"/>
      <c r="R491" s="1"/>
    </row>
    <row r="492" spans="7:18" x14ac:dyDescent="0.25">
      <c r="G492" s="1"/>
      <c r="H492" s="1"/>
      <c r="I492" s="1"/>
      <c r="J492" s="8"/>
      <c r="K492" s="7"/>
      <c r="L492" s="1"/>
      <c r="O492" s="1"/>
      <c r="R492" s="1"/>
    </row>
    <row r="493" spans="7:18" x14ac:dyDescent="0.25">
      <c r="G493" s="1"/>
      <c r="H493" s="1"/>
      <c r="I493" s="1"/>
      <c r="J493" s="8"/>
      <c r="K493" s="7"/>
      <c r="L493" s="1"/>
      <c r="O493" s="1"/>
      <c r="R493" s="1"/>
    </row>
    <row r="494" spans="7:18" x14ac:dyDescent="0.25">
      <c r="G494" s="1"/>
      <c r="H494" s="1"/>
      <c r="I494" s="1"/>
      <c r="J494" s="8"/>
      <c r="K494" s="7"/>
      <c r="L494" s="1"/>
      <c r="O494" s="1"/>
      <c r="R494" s="1"/>
    </row>
    <row r="495" spans="7:18" x14ac:dyDescent="0.25">
      <c r="G495" s="1"/>
      <c r="H495" s="1"/>
      <c r="I495" s="1"/>
      <c r="J495" s="8"/>
      <c r="K495" s="7"/>
      <c r="L495" s="1"/>
      <c r="O495" s="1"/>
      <c r="R495" s="1"/>
    </row>
    <row r="496" spans="7:18" x14ac:dyDescent="0.25">
      <c r="G496" s="1"/>
      <c r="H496" s="1"/>
      <c r="I496" s="1"/>
      <c r="J496" s="8"/>
      <c r="K496" s="7"/>
      <c r="L496" s="1"/>
      <c r="O496" s="1"/>
      <c r="R496" s="1"/>
    </row>
    <row r="497" spans="7:18" x14ac:dyDescent="0.25">
      <c r="G497" s="1"/>
      <c r="H497" s="1"/>
      <c r="I497" s="1"/>
      <c r="J497" s="8"/>
      <c r="K497" s="7"/>
      <c r="L497" s="1"/>
      <c r="O497" s="1"/>
      <c r="R497" s="1"/>
    </row>
    <row r="498" spans="7:18" x14ac:dyDescent="0.25">
      <c r="G498" s="1"/>
      <c r="H498" s="1"/>
      <c r="I498" s="1"/>
      <c r="J498" s="8"/>
      <c r="K498" s="7"/>
      <c r="L498" s="1"/>
      <c r="O498" s="1"/>
      <c r="R498" s="1"/>
    </row>
    <row r="499" spans="7:18" x14ac:dyDescent="0.25">
      <c r="G499" s="1"/>
      <c r="H499" s="1"/>
      <c r="I499" s="1"/>
      <c r="J499" s="8"/>
      <c r="K499" s="7"/>
      <c r="L499" s="1"/>
      <c r="O499" s="1"/>
      <c r="R499" s="1"/>
    </row>
    <row r="500" spans="7:18" x14ac:dyDescent="0.25">
      <c r="G500" s="1"/>
      <c r="H500" s="1"/>
      <c r="I500" s="1"/>
      <c r="J500" s="8"/>
      <c r="K500" s="7"/>
      <c r="L500" s="1"/>
      <c r="O500" s="1"/>
      <c r="R500" s="1"/>
    </row>
    <row r="501" spans="7:18" x14ac:dyDescent="0.25">
      <c r="G501" s="1"/>
      <c r="H501" s="1"/>
      <c r="I501" s="1"/>
      <c r="J501" s="8"/>
      <c r="K501" s="7"/>
      <c r="L501" s="1"/>
      <c r="O501" s="1"/>
      <c r="R501" s="1"/>
    </row>
    <row r="502" spans="7:18" x14ac:dyDescent="0.25">
      <c r="G502" s="1"/>
      <c r="H502" s="1"/>
      <c r="I502" s="1"/>
      <c r="J502" s="8"/>
      <c r="K502" s="7"/>
      <c r="L502" s="1"/>
      <c r="O502" s="1"/>
      <c r="R502" s="1"/>
    </row>
    <row r="503" spans="7:18" x14ac:dyDescent="0.25">
      <c r="G503" s="1"/>
      <c r="H503" s="1"/>
      <c r="I503" s="1"/>
      <c r="J503" s="8"/>
      <c r="K503" s="7"/>
      <c r="L503" s="1"/>
      <c r="O503" s="1"/>
      <c r="R503" s="1"/>
    </row>
    <row r="504" spans="7:18" x14ac:dyDescent="0.25">
      <c r="G504" s="1"/>
      <c r="H504" s="1"/>
      <c r="I504" s="1"/>
      <c r="J504" s="8"/>
      <c r="K504" s="7"/>
      <c r="L504" s="1"/>
      <c r="O504" s="1"/>
      <c r="R504" s="1"/>
    </row>
    <row r="505" spans="7:18" x14ac:dyDescent="0.25">
      <c r="G505" s="1"/>
      <c r="H505" s="1"/>
      <c r="I505" s="1"/>
      <c r="J505" s="8"/>
      <c r="K505" s="7"/>
      <c r="L505" s="1"/>
      <c r="O505" s="1"/>
      <c r="R505" s="1"/>
    </row>
    <row r="506" spans="7:18" x14ac:dyDescent="0.25">
      <c r="G506" s="1"/>
      <c r="H506" s="1"/>
      <c r="I506" s="1"/>
      <c r="J506" s="8"/>
      <c r="K506" s="7"/>
      <c r="L506" s="1"/>
      <c r="O506" s="1"/>
      <c r="R506" s="1"/>
    </row>
    <row r="507" spans="7:18" x14ac:dyDescent="0.25">
      <c r="G507" s="1"/>
      <c r="H507" s="1"/>
      <c r="I507" s="1"/>
      <c r="J507" s="8"/>
      <c r="K507" s="7"/>
      <c r="L507" s="1"/>
      <c r="O507" s="1"/>
      <c r="R507" s="1"/>
    </row>
    <row r="508" spans="7:18" x14ac:dyDescent="0.25">
      <c r="G508" s="1"/>
      <c r="H508" s="1"/>
      <c r="I508" s="1"/>
      <c r="J508" s="8"/>
      <c r="K508" s="7"/>
      <c r="L508" s="1"/>
      <c r="O508" s="1"/>
      <c r="R508" s="1"/>
    </row>
    <row r="509" spans="7:18" x14ac:dyDescent="0.25">
      <c r="G509" s="1"/>
      <c r="H509" s="1"/>
      <c r="I509" s="1"/>
      <c r="J509" s="8"/>
      <c r="K509" s="7"/>
      <c r="L509" s="1"/>
      <c r="O509" s="1"/>
      <c r="R509" s="1"/>
    </row>
    <row r="510" spans="7:18" x14ac:dyDescent="0.25">
      <c r="G510" s="1"/>
      <c r="H510" s="1"/>
      <c r="I510" s="1"/>
      <c r="J510" s="8"/>
      <c r="K510" s="7"/>
      <c r="L510" s="1"/>
      <c r="O510" s="1"/>
      <c r="R510" s="1"/>
    </row>
    <row r="511" spans="7:18" x14ac:dyDescent="0.25">
      <c r="G511" s="1"/>
      <c r="H511" s="1"/>
      <c r="I511" s="1"/>
      <c r="J511" s="8"/>
      <c r="K511" s="7"/>
      <c r="L511" s="1"/>
      <c r="O511" s="1"/>
      <c r="R511" s="1"/>
    </row>
    <row r="512" spans="7:18" x14ac:dyDescent="0.25">
      <c r="G512" s="1"/>
      <c r="H512" s="1"/>
      <c r="I512" s="1"/>
      <c r="J512" s="8"/>
      <c r="K512" s="7"/>
      <c r="L512" s="1"/>
      <c r="O512" s="1"/>
      <c r="R512" s="1"/>
    </row>
    <row r="513" spans="7:18" x14ac:dyDescent="0.25">
      <c r="G513" s="1"/>
      <c r="H513" s="1"/>
      <c r="I513" s="1"/>
      <c r="J513" s="8"/>
      <c r="K513" s="7"/>
      <c r="L513" s="1"/>
      <c r="O513" s="1"/>
      <c r="R513" s="1"/>
    </row>
    <row r="514" spans="7:18" x14ac:dyDescent="0.25">
      <c r="G514" s="1"/>
      <c r="H514" s="1"/>
      <c r="I514" s="1"/>
      <c r="J514" s="8"/>
      <c r="K514" s="7"/>
      <c r="L514" s="1"/>
      <c r="O514" s="1"/>
      <c r="R514" s="1"/>
    </row>
    <row r="515" spans="7:18" x14ac:dyDescent="0.25">
      <c r="G515" s="1"/>
      <c r="H515" s="1"/>
      <c r="I515" s="1"/>
      <c r="J515" s="8"/>
      <c r="K515" s="7"/>
      <c r="L515" s="1"/>
      <c r="O515" s="1"/>
      <c r="R515" s="1"/>
    </row>
    <row r="516" spans="7:18" x14ac:dyDescent="0.25">
      <c r="G516" s="1"/>
      <c r="H516" s="1"/>
      <c r="I516" s="1"/>
      <c r="J516" s="8"/>
      <c r="K516" s="7"/>
      <c r="L516" s="1"/>
      <c r="O516" s="1"/>
      <c r="R516" s="1"/>
    </row>
    <row r="517" spans="7:18" x14ac:dyDescent="0.25">
      <c r="G517" s="1"/>
      <c r="H517" s="1"/>
      <c r="I517" s="1"/>
      <c r="J517" s="8"/>
      <c r="K517" s="7"/>
      <c r="L517" s="1"/>
      <c r="O517" s="1"/>
      <c r="R517" s="1"/>
    </row>
    <row r="518" spans="7:18" x14ac:dyDescent="0.25">
      <c r="G518" s="1"/>
      <c r="H518" s="1"/>
      <c r="I518" s="1"/>
      <c r="J518" s="8"/>
      <c r="K518" s="7"/>
      <c r="L518" s="1"/>
      <c r="O518" s="1"/>
      <c r="R518" s="1"/>
    </row>
    <row r="519" spans="7:18" x14ac:dyDescent="0.25">
      <c r="G519" s="1"/>
      <c r="H519" s="1"/>
      <c r="I519" s="1"/>
      <c r="J519" s="8"/>
      <c r="K519" s="7"/>
      <c r="L519" s="1"/>
      <c r="O519" s="1"/>
      <c r="R519" s="1"/>
    </row>
    <row r="520" spans="7:18" x14ac:dyDescent="0.25">
      <c r="G520" s="1"/>
      <c r="H520" s="1"/>
      <c r="I520" s="1"/>
      <c r="J520" s="8"/>
      <c r="K520" s="7"/>
      <c r="L520" s="1"/>
      <c r="O520" s="1"/>
      <c r="R520" s="1"/>
    </row>
    <row r="521" spans="7:18" x14ac:dyDescent="0.25">
      <c r="G521" s="1"/>
      <c r="H521" s="1"/>
      <c r="I521" s="1"/>
      <c r="J521" s="8"/>
      <c r="K521" s="7"/>
      <c r="L521" s="1"/>
      <c r="O521" s="1"/>
      <c r="R521" s="1"/>
    </row>
    <row r="522" spans="7:18" x14ac:dyDescent="0.25">
      <c r="G522" s="1"/>
      <c r="H522" s="1"/>
      <c r="I522" s="1"/>
      <c r="J522" s="8"/>
      <c r="K522" s="7"/>
      <c r="L522" s="1"/>
      <c r="O522" s="1"/>
      <c r="R522" s="1"/>
    </row>
    <row r="523" spans="7:18" x14ac:dyDescent="0.25">
      <c r="G523" s="1"/>
      <c r="H523" s="1"/>
      <c r="I523" s="1"/>
      <c r="J523" s="8"/>
      <c r="K523" s="7"/>
      <c r="L523" s="1"/>
      <c r="O523" s="1"/>
      <c r="R523" s="1"/>
    </row>
    <row r="524" spans="7:18" x14ac:dyDescent="0.25">
      <c r="G524" s="1"/>
      <c r="H524" s="1"/>
      <c r="I524" s="1"/>
      <c r="J524" s="8"/>
      <c r="K524" s="7"/>
      <c r="L524" s="1"/>
      <c r="O524" s="1"/>
      <c r="R524" s="1"/>
    </row>
    <row r="525" spans="7:18" x14ac:dyDescent="0.25">
      <c r="G525" s="1"/>
      <c r="H525" s="1"/>
      <c r="I525" s="1"/>
      <c r="J525" s="8"/>
      <c r="K525" s="7"/>
      <c r="L525" s="1"/>
      <c r="O525" s="1"/>
      <c r="R525" s="1"/>
    </row>
    <row r="526" spans="7:18" x14ac:dyDescent="0.25">
      <c r="G526" s="1"/>
      <c r="H526" s="1"/>
      <c r="I526" s="1"/>
      <c r="J526" s="8"/>
      <c r="K526" s="7"/>
      <c r="L526" s="1"/>
      <c r="O526" s="1"/>
      <c r="R526" s="1"/>
    </row>
    <row r="527" spans="7:18" x14ac:dyDescent="0.25">
      <c r="G527" s="1"/>
      <c r="H527" s="1"/>
      <c r="I527" s="1"/>
      <c r="J527" s="8"/>
      <c r="K527" s="7"/>
      <c r="L527" s="1"/>
      <c r="O527" s="1"/>
      <c r="R527" s="1"/>
    </row>
    <row r="528" spans="7:18" x14ac:dyDescent="0.25">
      <c r="G528" s="1"/>
      <c r="H528" s="1"/>
      <c r="I528" s="1"/>
      <c r="J528" s="8"/>
      <c r="K528" s="7"/>
      <c r="L528" s="1"/>
      <c r="O528" s="1"/>
      <c r="R528" s="1"/>
    </row>
    <row r="529" spans="7:18" x14ac:dyDescent="0.25">
      <c r="G529" s="1"/>
      <c r="H529" s="1"/>
      <c r="I529" s="1"/>
      <c r="J529" s="8"/>
      <c r="K529" s="7"/>
      <c r="L529" s="1"/>
      <c r="O529" s="1"/>
      <c r="R529" s="1"/>
    </row>
    <row r="530" spans="7:18" x14ac:dyDescent="0.25">
      <c r="G530" s="1"/>
      <c r="H530" s="1"/>
      <c r="I530" s="1"/>
      <c r="J530" s="8"/>
      <c r="K530" s="7"/>
      <c r="L530" s="1"/>
      <c r="O530" s="1"/>
      <c r="R530" s="1"/>
    </row>
    <row r="531" spans="7:18" x14ac:dyDescent="0.25">
      <c r="G531" s="1"/>
      <c r="H531" s="1"/>
      <c r="I531" s="1"/>
      <c r="J531" s="8"/>
      <c r="K531" s="7"/>
      <c r="L531" s="1"/>
      <c r="O531" s="1"/>
      <c r="R531" s="1"/>
    </row>
    <row r="532" spans="7:18" x14ac:dyDescent="0.25">
      <c r="G532" s="1"/>
      <c r="H532" s="1"/>
      <c r="I532" s="1"/>
      <c r="J532" s="8"/>
      <c r="K532" s="7"/>
      <c r="L532" s="1"/>
      <c r="O532" s="1"/>
      <c r="R532" s="1"/>
    </row>
    <row r="533" spans="7:18" x14ac:dyDescent="0.25">
      <c r="G533" s="1"/>
    </row>
    <row r="534" spans="7:18" x14ac:dyDescent="0.25">
      <c r="G534" s="1"/>
    </row>
    <row r="535" spans="7:18" x14ac:dyDescent="0.25">
      <c r="G535" s="1"/>
    </row>
    <row r="536" spans="7:18" x14ac:dyDescent="0.25">
      <c r="G536" s="1"/>
    </row>
    <row r="537" spans="7:18" x14ac:dyDescent="0.25">
      <c r="G537" s="1"/>
    </row>
    <row r="538" spans="7:18" x14ac:dyDescent="0.25">
      <c r="G538" s="1"/>
    </row>
    <row r="539" spans="7:18" x14ac:dyDescent="0.25">
      <c r="G539" s="1"/>
    </row>
    <row r="540" spans="7:18" x14ac:dyDescent="0.25">
      <c r="G540" s="1"/>
    </row>
  </sheetData>
  <mergeCells count="7">
    <mergeCell ref="A1:R3"/>
    <mergeCell ref="A4:R4"/>
    <mergeCell ref="C11:E11"/>
    <mergeCell ref="C10:E10"/>
    <mergeCell ref="C9:E9"/>
    <mergeCell ref="C8:E8"/>
    <mergeCell ref="B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Newton-Rapson</vt:lpstr>
      <vt:lpstr>Derivacion-Prograsiva</vt:lpstr>
      <vt:lpstr>Trapecio</vt:lpstr>
      <vt:lpstr>Rugge-Kutta</vt:lpstr>
      <vt:lpstr>h</vt:lpstr>
      <vt:lpstr>ssss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Josias Dominguez</dc:creator>
  <cp:lastModifiedBy>Josias Dominguez</cp:lastModifiedBy>
  <dcterms:created xsi:type="dcterms:W3CDTF">2022-12-01T06:18:58Z</dcterms:created>
  <dcterms:modified xsi:type="dcterms:W3CDTF">2022-12-01T21:54:13Z</dcterms:modified>
</cp:coreProperties>
</file>